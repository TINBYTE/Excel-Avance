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nass MB\Documents\Cours universia\Excel Avancé 3ème Année\cours\TPs Semaines\TP_Semaine_1\TP_2\"/>
    </mc:Choice>
  </mc:AlternateContent>
  <xr:revisionPtr revIDLastSave="0" documentId="13_ncr:1_{C4C6BC75-B5F8-4FEB-AFF8-2D558D11AA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andes" sheetId="1" r:id="rId1"/>
  </sheets>
  <definedNames>
    <definedName name="Segment_Ville">#N/A</definedName>
  </definedNames>
  <calcPr calcId="18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" i="1" l="1"/>
  <c r="J4" i="1" s="1"/>
  <c r="I8" i="1"/>
  <c r="J8" i="1" s="1"/>
  <c r="I7" i="1"/>
  <c r="J7" i="1" s="1"/>
  <c r="I5" i="1"/>
  <c r="J5" i="1" s="1"/>
  <c r="I6" i="1"/>
  <c r="J6" i="1" s="1"/>
  <c r="J9" i="1" l="1"/>
</calcChain>
</file>

<file path=xl/sharedStrings.xml><?xml version="1.0" encoding="utf-8"?>
<sst xmlns="http://schemas.openxmlformats.org/spreadsheetml/2006/main" count="33" uniqueCount="31">
  <si>
    <t>Nom</t>
  </si>
  <si>
    <t>Prénom</t>
  </si>
  <si>
    <t>N° de tél.</t>
  </si>
  <si>
    <t>Qté.</t>
  </si>
  <si>
    <t>Prix unitaire</t>
  </si>
  <si>
    <t>Benjelloun</t>
  </si>
  <si>
    <t>Ahmed</t>
  </si>
  <si>
    <t>05 34 56 78 90</t>
  </si>
  <si>
    <t>Zerouali</t>
  </si>
  <si>
    <t>Amina</t>
  </si>
  <si>
    <t>06 78 90 12 34</t>
  </si>
  <si>
    <t>Tannant</t>
  </si>
  <si>
    <t>Karim</t>
  </si>
  <si>
    <t>05 90 12 34 56</t>
  </si>
  <si>
    <t>Alami</t>
  </si>
  <si>
    <t>Souad</t>
  </si>
  <si>
    <t>06 56 78 90 12</t>
  </si>
  <si>
    <t>Numéro Client</t>
  </si>
  <si>
    <t>Récapulatif Commandes</t>
  </si>
  <si>
    <t>Ait Aissa</t>
  </si>
  <si>
    <t>Anir</t>
  </si>
  <si>
    <t>06 86 65 01 25</t>
  </si>
  <si>
    <t>Ville</t>
  </si>
  <si>
    <t>Agadir</t>
  </si>
  <si>
    <t>Casablanca</t>
  </si>
  <si>
    <t>Rabat</t>
  </si>
  <si>
    <t>Prix total</t>
  </si>
  <si>
    <t>Taux TVA</t>
  </si>
  <si>
    <t>Prix TTC</t>
  </si>
  <si>
    <t>Total</t>
  </si>
  <si>
    <t>Réf Prod.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</si>
</sst>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9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quotePrefix="1" applyFont="1"/>
    <xf numFmtId="164" fontId="1" fillId="0" borderId="0" xfId="0" applyNumberFormat="1" applyFont="1"/>
    <xf numFmtId="164" fontId="0" fillId="0" borderId="0" xfId="0" applyNumberForma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9" fontId="1" fillId="3" borderId="2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20"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637198</xdr:colOff>
      <xdr:row>9</xdr:row>
      <xdr:rowOff>108683</xdr:rowOff>
    </xdr:from>
    <xdr:to>
      <xdr:col>9</xdr:col>
      <xdr:colOff>658447</xdr:colOff>
      <xdr:row>15</xdr:row>
      <xdr:rowOff>159117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Ville">
              <a:extLst>
                <a:ext uri="{FF2B5EF4-FFF2-40B4-BE49-F238E27FC236}">
                  <a16:creationId xmlns:a16="http://schemas.microsoft.com/office/drawing/2014/main" id="{C8395BF0-442F-4414-AC4D-9A8208EA43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ill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98261" y="1886683"/>
              <a:ext cx="1830999" cy="11934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 fPrintsWithSheet="0"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Ville" xr10:uid="{012F4E12-0FCD-44BD-BEE0-481AC05938DF}" sourceName="Ville">
  <extLst>
    <x:ext xmlns:x15="http://schemas.microsoft.com/office/spreadsheetml/2010/11/main" uri="{2F2917AC-EB37-4324-AD4E-5DD8C200BD13}">
      <x15:tableSlicerCache tableId="1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ille" xr10:uid="{E99887B8-B1F1-4774-A8D1-D8B89B0767F3}" cache="Segment_Ville" caption="Ville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3A7B18-8803-46F1-8400-657F38F39224}" name="TabCommandes" displayName="TabCommandes" ref="A3:J9" totalsRowCount="1" headerRowDxfId="19">
  <autoFilter ref="A3:J8" xr:uid="{5C05870A-31DC-4854-B3AC-5CD9B442D476}">
    <filterColumn colId="4">
      <filters>
        <filter val="Agadir"/>
        <filter val="Casablanca"/>
      </filters>
    </filterColumn>
  </autoFilter>
  <sortState xmlns:xlrd2="http://schemas.microsoft.com/office/spreadsheetml/2017/richdata2" ref="A4:J8">
    <sortCondition ref="B3:B8"/>
  </sortState>
  <tableColumns count="10">
    <tableColumn id="1" xr3:uid="{644DD9F5-DE75-4135-82D1-7A591FC7F5CD}" name="Numéro Client" totalsRowLabel="Total" dataDxfId="18" totalsRowDxfId="17"/>
    <tableColumn id="2" xr3:uid="{A5F62F85-C14A-4AEE-B569-1758D1F8A415}" name="Nom" dataDxfId="16" totalsRowDxfId="15"/>
    <tableColumn id="3" xr3:uid="{A14BA77F-B8A0-4390-9037-F1ED6198AA01}" name="Prénom" dataDxfId="14" totalsRowDxfId="13"/>
    <tableColumn id="4" xr3:uid="{CCF6F8BC-79A8-4DB2-BF76-DD73BFE3E52E}" name="N° de tél." dataDxfId="12" totalsRowDxfId="11"/>
    <tableColumn id="5" xr3:uid="{4375A758-99C1-42BD-9C0E-046A10CC233B}" name="Ville" dataDxfId="10" totalsRowDxfId="9"/>
    <tableColumn id="6" xr3:uid="{691D760F-84A7-474E-9F5B-1C6B42194A8D}" name="Réf Prod." dataDxfId="8" totalsRowDxfId="7"/>
    <tableColumn id="7" xr3:uid="{EB5236FF-DC5F-4542-9CD8-F93555747BC4}" name="Qté." dataDxfId="6" totalsRowDxfId="5"/>
    <tableColumn id="8" xr3:uid="{299DE18C-4355-459E-95B1-E0FB03E3564F}" name="Prix unitaire" dataDxfId="4" totalsRowDxfId="3"/>
    <tableColumn id="9" xr3:uid="{454E9B8D-9A61-42ED-BA23-6B50CEACC48C}" name="Prix total" dataDxfId="2">
      <calculatedColumnFormula>G4*H4</calculatedColumnFormula>
    </tableColumn>
    <tableColumn id="10" xr3:uid="{6F1E962F-8678-469D-AF79-AEDB4590F927}" name="Prix TTC" totalsRowFunction="sum" dataDxfId="1" totalsRowDxfId="0">
      <calculatedColumnFormula>I4+I4*$B$2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zoomScale="120" zoomScaleNormal="120" workbookViewId="0">
      <selection activeCell="G11" sqref="G11"/>
    </sheetView>
  </sheetViews>
  <sheetFormatPr baseColWidth="10" defaultColWidth="9.140625" defaultRowHeight="15" x14ac:dyDescent="0.25"/>
  <cols>
    <col min="1" max="1" width="15.140625" customWidth="1"/>
    <col min="2" max="2" width="10.85546875" bestFit="1" customWidth="1"/>
    <col min="3" max="3" width="9.85546875" customWidth="1"/>
    <col min="4" max="4" width="17.42578125" customWidth="1"/>
    <col min="5" max="5" width="14.28515625" customWidth="1"/>
    <col min="6" max="6" width="13.140625" customWidth="1"/>
    <col min="7" max="7" width="8.85546875" customWidth="1"/>
    <col min="8" max="8" width="14" customWidth="1"/>
    <col min="9" max="9" width="13.140625" customWidth="1"/>
    <col min="10" max="10" width="12.7109375" customWidth="1"/>
  </cols>
  <sheetData>
    <row r="1" spans="1:10" ht="24.75" customHeight="1" x14ac:dyDescent="0.25">
      <c r="A1" s="10" t="s">
        <v>18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21" x14ac:dyDescent="0.35">
      <c r="A2" s="8" t="s">
        <v>27</v>
      </c>
      <c r="B2" s="9">
        <v>0.2</v>
      </c>
      <c r="C2" s="7"/>
      <c r="D2" s="7"/>
      <c r="E2" s="7"/>
      <c r="F2" s="7"/>
      <c r="G2" s="7"/>
      <c r="H2" s="7"/>
    </row>
    <row r="3" spans="1:10" ht="15.75" x14ac:dyDescent="0.25">
      <c r="A3" t="s">
        <v>17</v>
      </c>
      <c r="B3" s="1" t="s">
        <v>0</v>
      </c>
      <c r="C3" s="1" t="s">
        <v>1</v>
      </c>
      <c r="D3" s="1" t="s">
        <v>2</v>
      </c>
      <c r="E3" s="1" t="s">
        <v>22</v>
      </c>
      <c r="F3" s="1" t="s">
        <v>30</v>
      </c>
      <c r="G3" s="1" t="s">
        <v>3</v>
      </c>
      <c r="H3" s="1" t="s">
        <v>4</v>
      </c>
      <c r="I3" s="1" t="s">
        <v>26</v>
      </c>
      <c r="J3" s="1" t="s">
        <v>28</v>
      </c>
    </row>
    <row r="4" spans="1:10" ht="15.75" x14ac:dyDescent="0.25">
      <c r="A4" s="3">
        <v>6</v>
      </c>
      <c r="B4" s="1" t="s">
        <v>19</v>
      </c>
      <c r="C4" s="1" t="s">
        <v>20</v>
      </c>
      <c r="D4" s="4" t="s">
        <v>21</v>
      </c>
      <c r="E4" s="4" t="s">
        <v>24</v>
      </c>
      <c r="F4">
        <v>778954</v>
      </c>
      <c r="G4" s="1">
        <v>83</v>
      </c>
      <c r="H4" s="5">
        <v>95.2</v>
      </c>
      <c r="I4" s="6">
        <f>G4*H4</f>
        <v>7901.6</v>
      </c>
      <c r="J4" s="6">
        <f>I4+I4*$B$2</f>
        <v>9481.92</v>
      </c>
    </row>
    <row r="5" spans="1:10" s="1" customFormat="1" ht="15.75" x14ac:dyDescent="0.25">
      <c r="A5" s="2">
        <v>5</v>
      </c>
      <c r="B5" s="1" t="s">
        <v>14</v>
      </c>
      <c r="C5" s="1" t="s">
        <v>15</v>
      </c>
      <c r="D5" s="1" t="s">
        <v>16</v>
      </c>
      <c r="E5" s="1" t="s">
        <v>24</v>
      </c>
      <c r="F5" s="1">
        <v>234567</v>
      </c>
      <c r="G5" s="1">
        <v>112</v>
      </c>
      <c r="H5" s="5">
        <v>124.6</v>
      </c>
      <c r="I5" s="6">
        <f>G5*H5</f>
        <v>13955.199999999999</v>
      </c>
      <c r="J5" s="6">
        <f>I5+I5*$B$2</f>
        <v>16746.239999999998</v>
      </c>
    </row>
    <row r="6" spans="1:10" ht="15.75" x14ac:dyDescent="0.25">
      <c r="A6" s="2">
        <v>2</v>
      </c>
      <c r="B6" s="1" t="s">
        <v>5</v>
      </c>
      <c r="C6" s="1" t="s">
        <v>6</v>
      </c>
      <c r="D6" s="1" t="s">
        <v>7</v>
      </c>
      <c r="E6" s="1" t="s">
        <v>23</v>
      </c>
      <c r="F6" s="1">
        <v>456123</v>
      </c>
      <c r="G6" s="1">
        <v>23</v>
      </c>
      <c r="H6" s="5">
        <v>68.900000000000006</v>
      </c>
      <c r="I6" s="6">
        <f>G6*H6</f>
        <v>1584.7</v>
      </c>
      <c r="J6" s="6">
        <f>I6+I6*$B$2</f>
        <v>1901.64</v>
      </c>
    </row>
    <row r="7" spans="1:10" ht="15.75" x14ac:dyDescent="0.25">
      <c r="A7" s="2">
        <v>4</v>
      </c>
      <c r="B7" s="1" t="s">
        <v>11</v>
      </c>
      <c r="C7" s="1" t="s">
        <v>12</v>
      </c>
      <c r="D7" s="1" t="s">
        <v>13</v>
      </c>
      <c r="E7" s="1" t="s">
        <v>23</v>
      </c>
      <c r="F7" s="1">
        <v>345678</v>
      </c>
      <c r="G7" s="1">
        <v>56</v>
      </c>
      <c r="H7" s="5">
        <v>92.8</v>
      </c>
      <c r="I7" s="6">
        <f>G7*H7</f>
        <v>5196.8</v>
      </c>
      <c r="J7" s="6">
        <f>I7+I7*$B$2</f>
        <v>6236.16</v>
      </c>
    </row>
    <row r="8" spans="1:10" ht="15.75" hidden="1" x14ac:dyDescent="0.25">
      <c r="A8" s="2">
        <v>3</v>
      </c>
      <c r="B8" s="1" t="s">
        <v>8</v>
      </c>
      <c r="C8" s="1" t="s">
        <v>9</v>
      </c>
      <c r="D8" s="1" t="s">
        <v>10</v>
      </c>
      <c r="E8" s="1" t="s">
        <v>25</v>
      </c>
      <c r="F8" s="1">
        <v>789012</v>
      </c>
      <c r="G8" s="1">
        <v>15</v>
      </c>
      <c r="H8" s="5">
        <v>32.75</v>
      </c>
      <c r="I8" s="6">
        <f>G8*H8</f>
        <v>491.25</v>
      </c>
      <c r="J8" s="6">
        <f>I8+I8*$B$2</f>
        <v>589.5</v>
      </c>
    </row>
    <row r="9" spans="1:10" ht="15.75" x14ac:dyDescent="0.25">
      <c r="A9" s="2" t="s">
        <v>29</v>
      </c>
      <c r="B9" s="1"/>
      <c r="C9" s="1"/>
      <c r="D9" s="1"/>
      <c r="E9" s="1"/>
      <c r="F9" s="1"/>
      <c r="G9" s="1"/>
      <c r="H9" s="1"/>
      <c r="J9" s="6">
        <f>SUBTOTAL(109,TabCommandes[Prix TTC])</f>
        <v>34365.959999999992</v>
      </c>
    </row>
  </sheetData>
  <mergeCells count="1">
    <mergeCell ref="A1:J1"/>
  </mergeCells>
  <pageMargins left="0.7" right="0.7" top="0.75" bottom="0.75" header="0.3" footer="0.3"/>
  <pageSetup paperSize="9" orientation="landscape" r:id="rId1"/>
  <headerFooter>
    <oddHeader>&amp;L&amp;16&amp;D&amp;R&amp;16&amp;K09-046Mon Nom</oddHeader>
  </headerFooter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Commandes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 MB</dc:creator>
  <cp:lastModifiedBy>Anass Mançour-Billah</cp:lastModifiedBy>
  <cp:lastPrinted>2024-10-15T20:09:23Z</cp:lastPrinted>
  <dcterms:created xsi:type="dcterms:W3CDTF">2015-06-05T18:19:34Z</dcterms:created>
  <dcterms:modified xsi:type="dcterms:W3CDTF">2024-10-15T20:09:29Z</dcterms:modified>
</cp:coreProperties>
</file>