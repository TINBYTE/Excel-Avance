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1.xml" ContentType="application/vnd.openxmlformats-officedocument.drawing+xml"/>
  <Override PartName="/xl/tables/table7.xml" ContentType="application/vnd.openxmlformats-officedocument.spreadsheetml.table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3\"/>
    </mc:Choice>
  </mc:AlternateContent>
  <xr:revisionPtr revIDLastSave="0" documentId="13_ncr:1_{1435D3F1-3083-4B8F-B31D-6F7818B4BA80}" xr6:coauthVersionLast="47" xr6:coauthVersionMax="47" xr10:uidLastSave="{00000000-0000-0000-0000-000000000000}"/>
  <bookViews>
    <workbookView xWindow="-120" yWindow="-120" windowWidth="20730" windowHeight="11160" tabRatio="629" xr2:uid="{00000000-000D-0000-FFFF-FFFF00000000}"/>
  </bookViews>
  <sheets>
    <sheet name="RECHERCHEV" sheetId="1" r:id="rId1"/>
    <sheet name="Tableau_Produits" sheetId="3" r:id="rId2"/>
    <sheet name="Transactions_Vente" sheetId="4" r:id="rId3"/>
    <sheet name="RECHERCHE_APPROX" sheetId="5" r:id="rId4"/>
    <sheet name="EQUIV_INDEX" sheetId="9" r:id="rId5"/>
    <sheet name="RECHERCHE_EQUIV" sheetId="7" r:id="rId6"/>
    <sheet name="RECHERCHE_INDEX_EQUIV" sheetId="10" r:id="rId7"/>
    <sheet name="SIERREUR" sheetId="11" r:id="rId8"/>
    <sheet name="RECHERCHEH" sheetId="15" r:id="rId9"/>
    <sheet name="Gestion_TEXTE" sheetId="12" r:id="rId10"/>
    <sheet name="DATEDIF" sheetId="14" r:id="rId11"/>
    <sheet name="Tableaux_Livraison" sheetId="16" r:id="rId12"/>
    <sheet name="SERIE.JOUR.OUVRE" sheetId="17" r:id="rId13"/>
  </sheets>
  <definedNames>
    <definedName name="Segment_Catégorie_Produit">#N/A</definedName>
    <definedName name="Segment_Mois_commande">#N/A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5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5" l="1"/>
  <c r="C10" i="15"/>
  <c r="E6" i="12"/>
  <c r="F6" i="12" s="1"/>
  <c r="G6" i="12" s="1"/>
  <c r="H6" i="12" s="1"/>
  <c r="E7" i="12"/>
  <c r="E8" i="12"/>
  <c r="E9" i="12"/>
  <c r="F9" i="12" s="1"/>
  <c r="G9" i="12" s="1"/>
  <c r="H9" i="12" s="1"/>
  <c r="E10" i="12"/>
  <c r="F10" i="12" s="1"/>
  <c r="G10" i="12" s="1"/>
  <c r="H10" i="12" s="1"/>
  <c r="E11" i="12"/>
  <c r="E12" i="12"/>
  <c r="E5" i="12"/>
  <c r="G54" i="4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4" i="17"/>
  <c r="H5" i="17"/>
  <c r="I5" i="17" s="1"/>
  <c r="H6" i="17"/>
  <c r="I6" i="17" s="1"/>
  <c r="H7" i="17"/>
  <c r="I7" i="17" s="1"/>
  <c r="H8" i="17"/>
  <c r="I8" i="17" s="1"/>
  <c r="H9" i="17"/>
  <c r="I9" i="17" s="1"/>
  <c r="H10" i="17"/>
  <c r="I10" i="17" s="1"/>
  <c r="H11" i="17"/>
  <c r="I11" i="17" s="1"/>
  <c r="H12" i="17"/>
  <c r="I12" i="17" s="1"/>
  <c r="H13" i="17"/>
  <c r="I13" i="17" s="1"/>
  <c r="H14" i="17"/>
  <c r="I14" i="17" s="1"/>
  <c r="H15" i="17"/>
  <c r="I15" i="17" s="1"/>
  <c r="H16" i="17"/>
  <c r="I16" i="17" s="1"/>
  <c r="H17" i="17"/>
  <c r="I17" i="17" s="1"/>
  <c r="H18" i="17"/>
  <c r="I18" i="17" s="1"/>
  <c r="H19" i="17"/>
  <c r="I19" i="17" s="1"/>
  <c r="H20" i="17"/>
  <c r="I20" i="17" s="1"/>
  <c r="H21" i="17"/>
  <c r="I21" i="17" s="1"/>
  <c r="H22" i="17"/>
  <c r="I22" i="17" s="1"/>
  <c r="H23" i="17"/>
  <c r="I23" i="17" s="1"/>
  <c r="H24" i="17"/>
  <c r="I24" i="17" s="1"/>
  <c r="H25" i="17"/>
  <c r="I25" i="17" s="1"/>
  <c r="H26" i="17"/>
  <c r="I26" i="17" s="1"/>
  <c r="H27" i="17"/>
  <c r="I27" i="17" s="1"/>
  <c r="H28" i="17"/>
  <c r="I28" i="17" s="1"/>
  <c r="H29" i="17"/>
  <c r="I29" i="17" s="1"/>
  <c r="H30" i="17"/>
  <c r="I30" i="17" s="1"/>
  <c r="H31" i="17"/>
  <c r="I31" i="17" s="1"/>
  <c r="H32" i="17"/>
  <c r="I32" i="17" s="1"/>
  <c r="H33" i="17"/>
  <c r="I33" i="17" s="1"/>
  <c r="H34" i="17"/>
  <c r="I34" i="17" s="1"/>
  <c r="H35" i="17"/>
  <c r="I35" i="17" s="1"/>
  <c r="H36" i="17"/>
  <c r="I36" i="17" s="1"/>
  <c r="H37" i="17"/>
  <c r="I37" i="17" s="1"/>
  <c r="H38" i="17"/>
  <c r="I38" i="17" s="1"/>
  <c r="H39" i="17"/>
  <c r="I39" i="17" s="1"/>
  <c r="H40" i="17"/>
  <c r="I40" i="17" s="1"/>
  <c r="H41" i="17"/>
  <c r="I41" i="17" s="1"/>
  <c r="H42" i="17"/>
  <c r="I42" i="17" s="1"/>
  <c r="H43" i="17"/>
  <c r="I43" i="17" s="1"/>
  <c r="H44" i="17"/>
  <c r="I44" i="17" s="1"/>
  <c r="H45" i="17"/>
  <c r="I45" i="17" s="1"/>
  <c r="H46" i="17"/>
  <c r="I46" i="17" s="1"/>
  <c r="H47" i="17"/>
  <c r="I47" i="17" s="1"/>
  <c r="H48" i="17"/>
  <c r="I48" i="17" s="1"/>
  <c r="H49" i="17"/>
  <c r="I49" i="17" s="1"/>
  <c r="H50" i="17"/>
  <c r="I50" i="17" s="1"/>
  <c r="H51" i="17"/>
  <c r="I51" i="17" s="1"/>
  <c r="H52" i="17"/>
  <c r="I52" i="17" s="1"/>
  <c r="H53" i="17"/>
  <c r="I53" i="17" s="1"/>
  <c r="H54" i="17"/>
  <c r="I54" i="17" s="1"/>
  <c r="H55" i="17"/>
  <c r="I55" i="17" s="1"/>
  <c r="H56" i="17"/>
  <c r="I56" i="17" s="1"/>
  <c r="H57" i="17"/>
  <c r="I57" i="17" s="1"/>
  <c r="H58" i="17"/>
  <c r="I58" i="17" s="1"/>
  <c r="H59" i="17"/>
  <c r="I59" i="17" s="1"/>
  <c r="H60" i="17"/>
  <c r="I60" i="17" s="1"/>
  <c r="H61" i="17"/>
  <c r="I61" i="17" s="1"/>
  <c r="H62" i="17"/>
  <c r="I62" i="17" s="1"/>
  <c r="H63" i="17"/>
  <c r="I63" i="17" s="1"/>
  <c r="H64" i="17"/>
  <c r="I64" i="17" s="1"/>
  <c r="H65" i="17"/>
  <c r="I65" i="17" s="1"/>
  <c r="H66" i="17"/>
  <c r="I66" i="17" s="1"/>
  <c r="H67" i="17"/>
  <c r="I67" i="17" s="1"/>
  <c r="H68" i="17"/>
  <c r="I68" i="17" s="1"/>
  <c r="H69" i="17"/>
  <c r="I69" i="17" s="1"/>
  <c r="H70" i="17"/>
  <c r="I70" i="17" s="1"/>
  <c r="H71" i="17"/>
  <c r="I71" i="17" s="1"/>
  <c r="H72" i="17"/>
  <c r="I72" i="17" s="1"/>
  <c r="H73" i="17"/>
  <c r="I73" i="17" s="1"/>
  <c r="H74" i="17"/>
  <c r="I74" i="17" s="1"/>
  <c r="H75" i="17"/>
  <c r="I75" i="17" s="1"/>
  <c r="H76" i="17"/>
  <c r="I76" i="17" s="1"/>
  <c r="H77" i="17"/>
  <c r="I77" i="17" s="1"/>
  <c r="H78" i="17"/>
  <c r="I78" i="17" s="1"/>
  <c r="H79" i="17"/>
  <c r="I79" i="17" s="1"/>
  <c r="H80" i="17"/>
  <c r="I80" i="17" s="1"/>
  <c r="H81" i="17"/>
  <c r="I81" i="17" s="1"/>
  <c r="H82" i="17"/>
  <c r="I82" i="17" s="1"/>
  <c r="H83" i="17"/>
  <c r="I83" i="17" s="1"/>
  <c r="H84" i="17"/>
  <c r="I84" i="17" s="1"/>
  <c r="H85" i="17"/>
  <c r="I85" i="17" s="1"/>
  <c r="H86" i="17"/>
  <c r="I86" i="17" s="1"/>
  <c r="H87" i="17"/>
  <c r="I87" i="17" s="1"/>
  <c r="H88" i="17"/>
  <c r="I88" i="17" s="1"/>
  <c r="H89" i="17"/>
  <c r="I89" i="17" s="1"/>
  <c r="H90" i="17"/>
  <c r="I90" i="17" s="1"/>
  <c r="H91" i="17"/>
  <c r="I91" i="17" s="1"/>
  <c r="H92" i="17"/>
  <c r="I92" i="17" s="1"/>
  <c r="H93" i="17"/>
  <c r="I93" i="17" s="1"/>
  <c r="H94" i="17"/>
  <c r="I94" i="17" s="1"/>
  <c r="H95" i="17"/>
  <c r="I95" i="17" s="1"/>
  <c r="H96" i="17"/>
  <c r="I96" i="17" s="1"/>
  <c r="H97" i="17"/>
  <c r="I97" i="17" s="1"/>
  <c r="H98" i="17"/>
  <c r="I98" i="17" s="1"/>
  <c r="H99" i="17"/>
  <c r="I99" i="17" s="1"/>
  <c r="H100" i="17"/>
  <c r="I100" i="17" s="1"/>
  <c r="H101" i="17"/>
  <c r="I101" i="17" s="1"/>
  <c r="H4" i="17"/>
  <c r="I4" i="17" s="1"/>
  <c r="E5" i="17"/>
  <c r="F5" i="17" s="1"/>
  <c r="G5" i="17" s="1"/>
  <c r="E6" i="17"/>
  <c r="F6" i="17" s="1"/>
  <c r="G6" i="17" s="1"/>
  <c r="E7" i="17"/>
  <c r="F7" i="17" s="1"/>
  <c r="G7" i="17" s="1"/>
  <c r="E8" i="17"/>
  <c r="F8" i="17" s="1"/>
  <c r="G8" i="17" s="1"/>
  <c r="E9" i="17"/>
  <c r="F9" i="17" s="1"/>
  <c r="G9" i="17" s="1"/>
  <c r="E10" i="17"/>
  <c r="F10" i="17" s="1"/>
  <c r="G10" i="17" s="1"/>
  <c r="E11" i="17"/>
  <c r="F11" i="17" s="1"/>
  <c r="G11" i="17" s="1"/>
  <c r="E12" i="17"/>
  <c r="F12" i="17" s="1"/>
  <c r="G12" i="17" s="1"/>
  <c r="E13" i="17"/>
  <c r="F13" i="17" s="1"/>
  <c r="G13" i="17" s="1"/>
  <c r="E14" i="17"/>
  <c r="F14" i="17" s="1"/>
  <c r="G14" i="17" s="1"/>
  <c r="E15" i="17"/>
  <c r="F15" i="17" s="1"/>
  <c r="G15" i="17" s="1"/>
  <c r="E16" i="17"/>
  <c r="F16" i="17" s="1"/>
  <c r="G16" i="17" s="1"/>
  <c r="E17" i="17"/>
  <c r="F17" i="17" s="1"/>
  <c r="G17" i="17" s="1"/>
  <c r="E18" i="17"/>
  <c r="F18" i="17" s="1"/>
  <c r="G18" i="17" s="1"/>
  <c r="E19" i="17"/>
  <c r="F19" i="17" s="1"/>
  <c r="G19" i="17" s="1"/>
  <c r="E20" i="17"/>
  <c r="F20" i="17" s="1"/>
  <c r="G20" i="17" s="1"/>
  <c r="E21" i="17"/>
  <c r="F21" i="17" s="1"/>
  <c r="G21" i="17" s="1"/>
  <c r="E22" i="17"/>
  <c r="F22" i="17" s="1"/>
  <c r="G22" i="17" s="1"/>
  <c r="E23" i="17"/>
  <c r="F23" i="17" s="1"/>
  <c r="G23" i="17" s="1"/>
  <c r="E24" i="17"/>
  <c r="F24" i="17" s="1"/>
  <c r="G24" i="17" s="1"/>
  <c r="E25" i="17"/>
  <c r="F25" i="17" s="1"/>
  <c r="G25" i="17" s="1"/>
  <c r="E26" i="17"/>
  <c r="F26" i="17" s="1"/>
  <c r="G26" i="17" s="1"/>
  <c r="E27" i="17"/>
  <c r="F27" i="17" s="1"/>
  <c r="G27" i="17" s="1"/>
  <c r="E28" i="17"/>
  <c r="F28" i="17" s="1"/>
  <c r="G28" i="17" s="1"/>
  <c r="E29" i="17"/>
  <c r="F29" i="17" s="1"/>
  <c r="G29" i="17" s="1"/>
  <c r="E30" i="17"/>
  <c r="F30" i="17" s="1"/>
  <c r="G30" i="17" s="1"/>
  <c r="E31" i="17"/>
  <c r="F31" i="17" s="1"/>
  <c r="G31" i="17" s="1"/>
  <c r="E32" i="17"/>
  <c r="F32" i="17" s="1"/>
  <c r="G32" i="17" s="1"/>
  <c r="E33" i="17"/>
  <c r="F33" i="17" s="1"/>
  <c r="G33" i="17" s="1"/>
  <c r="E34" i="17"/>
  <c r="F34" i="17" s="1"/>
  <c r="G34" i="17" s="1"/>
  <c r="E35" i="17"/>
  <c r="F35" i="17" s="1"/>
  <c r="G35" i="17" s="1"/>
  <c r="E36" i="17"/>
  <c r="F36" i="17" s="1"/>
  <c r="G36" i="17" s="1"/>
  <c r="E37" i="17"/>
  <c r="F37" i="17" s="1"/>
  <c r="G37" i="17" s="1"/>
  <c r="E38" i="17"/>
  <c r="F38" i="17" s="1"/>
  <c r="G38" i="17" s="1"/>
  <c r="E39" i="17"/>
  <c r="F39" i="17" s="1"/>
  <c r="G39" i="17" s="1"/>
  <c r="E40" i="17"/>
  <c r="F40" i="17" s="1"/>
  <c r="G40" i="17" s="1"/>
  <c r="E41" i="17"/>
  <c r="F41" i="17" s="1"/>
  <c r="G41" i="17" s="1"/>
  <c r="E42" i="17"/>
  <c r="F42" i="17" s="1"/>
  <c r="G42" i="17" s="1"/>
  <c r="E43" i="17"/>
  <c r="F43" i="17" s="1"/>
  <c r="G43" i="17" s="1"/>
  <c r="E44" i="17"/>
  <c r="F44" i="17" s="1"/>
  <c r="G44" i="17" s="1"/>
  <c r="E45" i="17"/>
  <c r="F45" i="17" s="1"/>
  <c r="G45" i="17" s="1"/>
  <c r="E46" i="17"/>
  <c r="F46" i="17" s="1"/>
  <c r="G46" i="17" s="1"/>
  <c r="E47" i="17"/>
  <c r="F47" i="17" s="1"/>
  <c r="G47" i="17" s="1"/>
  <c r="E48" i="17"/>
  <c r="F48" i="17" s="1"/>
  <c r="G48" i="17" s="1"/>
  <c r="E49" i="17"/>
  <c r="F49" i="17" s="1"/>
  <c r="G49" i="17" s="1"/>
  <c r="E50" i="17"/>
  <c r="F50" i="17" s="1"/>
  <c r="G50" i="17" s="1"/>
  <c r="E51" i="17"/>
  <c r="F51" i="17" s="1"/>
  <c r="G51" i="17" s="1"/>
  <c r="E52" i="17"/>
  <c r="F52" i="17" s="1"/>
  <c r="G52" i="17" s="1"/>
  <c r="E53" i="17"/>
  <c r="F53" i="17" s="1"/>
  <c r="G53" i="17" s="1"/>
  <c r="E54" i="17"/>
  <c r="F54" i="17" s="1"/>
  <c r="G54" i="17" s="1"/>
  <c r="E55" i="17"/>
  <c r="F55" i="17" s="1"/>
  <c r="G55" i="17" s="1"/>
  <c r="E56" i="17"/>
  <c r="F56" i="17" s="1"/>
  <c r="G56" i="17" s="1"/>
  <c r="E57" i="17"/>
  <c r="F57" i="17" s="1"/>
  <c r="G57" i="17" s="1"/>
  <c r="E58" i="17"/>
  <c r="F58" i="17" s="1"/>
  <c r="G58" i="17" s="1"/>
  <c r="E59" i="17"/>
  <c r="F59" i="17" s="1"/>
  <c r="G59" i="17" s="1"/>
  <c r="E60" i="17"/>
  <c r="F60" i="17" s="1"/>
  <c r="G60" i="17" s="1"/>
  <c r="E61" i="17"/>
  <c r="F61" i="17" s="1"/>
  <c r="G61" i="17" s="1"/>
  <c r="E62" i="17"/>
  <c r="F62" i="17" s="1"/>
  <c r="G62" i="17" s="1"/>
  <c r="E63" i="17"/>
  <c r="F63" i="17" s="1"/>
  <c r="G63" i="17" s="1"/>
  <c r="E64" i="17"/>
  <c r="F64" i="17" s="1"/>
  <c r="G64" i="17" s="1"/>
  <c r="E65" i="17"/>
  <c r="F65" i="17" s="1"/>
  <c r="G65" i="17" s="1"/>
  <c r="E66" i="17"/>
  <c r="F66" i="17" s="1"/>
  <c r="G66" i="17" s="1"/>
  <c r="E67" i="17"/>
  <c r="F67" i="17" s="1"/>
  <c r="G67" i="17" s="1"/>
  <c r="E68" i="17"/>
  <c r="F68" i="17" s="1"/>
  <c r="G68" i="17" s="1"/>
  <c r="E69" i="17"/>
  <c r="F69" i="17" s="1"/>
  <c r="G69" i="17" s="1"/>
  <c r="E70" i="17"/>
  <c r="F70" i="17" s="1"/>
  <c r="G70" i="17" s="1"/>
  <c r="E71" i="17"/>
  <c r="F71" i="17" s="1"/>
  <c r="G71" i="17" s="1"/>
  <c r="E72" i="17"/>
  <c r="F72" i="17" s="1"/>
  <c r="G72" i="17" s="1"/>
  <c r="E73" i="17"/>
  <c r="F73" i="17" s="1"/>
  <c r="G73" i="17" s="1"/>
  <c r="E74" i="17"/>
  <c r="F74" i="17" s="1"/>
  <c r="G74" i="17" s="1"/>
  <c r="E75" i="17"/>
  <c r="F75" i="17" s="1"/>
  <c r="G75" i="17" s="1"/>
  <c r="E76" i="17"/>
  <c r="F76" i="17" s="1"/>
  <c r="G76" i="17" s="1"/>
  <c r="E77" i="17"/>
  <c r="F77" i="17" s="1"/>
  <c r="G77" i="17" s="1"/>
  <c r="E78" i="17"/>
  <c r="F78" i="17" s="1"/>
  <c r="G78" i="17" s="1"/>
  <c r="E79" i="17"/>
  <c r="F79" i="17" s="1"/>
  <c r="G79" i="17" s="1"/>
  <c r="E80" i="17"/>
  <c r="F80" i="17" s="1"/>
  <c r="G80" i="17" s="1"/>
  <c r="E81" i="17"/>
  <c r="F81" i="17" s="1"/>
  <c r="G81" i="17" s="1"/>
  <c r="E82" i="17"/>
  <c r="F82" i="17" s="1"/>
  <c r="G82" i="17" s="1"/>
  <c r="E83" i="17"/>
  <c r="F83" i="17" s="1"/>
  <c r="G83" i="17" s="1"/>
  <c r="E84" i="17"/>
  <c r="F84" i="17" s="1"/>
  <c r="G84" i="17" s="1"/>
  <c r="E85" i="17"/>
  <c r="F85" i="17" s="1"/>
  <c r="G85" i="17" s="1"/>
  <c r="E86" i="17"/>
  <c r="F86" i="17" s="1"/>
  <c r="G86" i="17" s="1"/>
  <c r="E87" i="17"/>
  <c r="F87" i="17" s="1"/>
  <c r="G87" i="17" s="1"/>
  <c r="E88" i="17"/>
  <c r="F88" i="17" s="1"/>
  <c r="G88" i="17" s="1"/>
  <c r="E89" i="17"/>
  <c r="F89" i="17" s="1"/>
  <c r="G89" i="17" s="1"/>
  <c r="E90" i="17"/>
  <c r="F90" i="17" s="1"/>
  <c r="G90" i="17" s="1"/>
  <c r="E91" i="17"/>
  <c r="F91" i="17" s="1"/>
  <c r="G91" i="17" s="1"/>
  <c r="E92" i="17"/>
  <c r="F92" i="17" s="1"/>
  <c r="G92" i="17" s="1"/>
  <c r="E93" i="17"/>
  <c r="F93" i="17" s="1"/>
  <c r="G93" i="17" s="1"/>
  <c r="E94" i="17"/>
  <c r="F94" i="17" s="1"/>
  <c r="G94" i="17" s="1"/>
  <c r="E95" i="17"/>
  <c r="F95" i="17" s="1"/>
  <c r="G95" i="17" s="1"/>
  <c r="E96" i="17"/>
  <c r="F96" i="17" s="1"/>
  <c r="G96" i="17" s="1"/>
  <c r="E97" i="17"/>
  <c r="F97" i="17" s="1"/>
  <c r="G97" i="17" s="1"/>
  <c r="E98" i="17"/>
  <c r="F98" i="17" s="1"/>
  <c r="G98" i="17" s="1"/>
  <c r="E99" i="17"/>
  <c r="F99" i="17" s="1"/>
  <c r="G99" i="17" s="1"/>
  <c r="E100" i="17"/>
  <c r="F100" i="17" s="1"/>
  <c r="G100" i="17" s="1"/>
  <c r="E101" i="17"/>
  <c r="F101" i="17" s="1"/>
  <c r="G101" i="17" s="1"/>
  <c r="E4" i="17"/>
  <c r="F4" i="17" s="1"/>
  <c r="G4" i="17" s="1"/>
  <c r="E6" i="14"/>
  <c r="E7" i="14"/>
  <c r="E8" i="14"/>
  <c r="E9" i="14"/>
  <c r="E10" i="14"/>
  <c r="E5" i="14"/>
  <c r="C5" i="14"/>
  <c r="D6" i="14"/>
  <c r="D7" i="14"/>
  <c r="D8" i="14"/>
  <c r="D9" i="14"/>
  <c r="D10" i="14"/>
  <c r="D5" i="14"/>
  <c r="C6" i="14"/>
  <c r="C7" i="14"/>
  <c r="C8" i="14"/>
  <c r="C9" i="14"/>
  <c r="C10" i="14"/>
  <c r="H8" i="12"/>
  <c r="H12" i="12"/>
  <c r="G8" i="12"/>
  <c r="G12" i="12"/>
  <c r="F7" i="12"/>
  <c r="G7" i="12" s="1"/>
  <c r="H7" i="12" s="1"/>
  <c r="F8" i="12"/>
  <c r="F11" i="12"/>
  <c r="G11" i="12" s="1"/>
  <c r="H11" i="12" s="1"/>
  <c r="F12" i="12"/>
  <c r="F5" i="12"/>
  <c r="G5" i="12" s="1"/>
  <c r="H5" i="12" s="1"/>
  <c r="D12" i="12"/>
  <c r="D11" i="12"/>
  <c r="D10" i="12"/>
  <c r="D9" i="12"/>
  <c r="D8" i="12"/>
  <c r="D7" i="12"/>
  <c r="D6" i="12"/>
  <c r="D5" i="12"/>
  <c r="C6" i="12"/>
  <c r="C7" i="12"/>
  <c r="C8" i="12"/>
  <c r="C9" i="12"/>
  <c r="C10" i="12"/>
  <c r="C11" i="12"/>
  <c r="C12" i="12"/>
  <c r="C5" i="12"/>
  <c r="F6" i="11"/>
  <c r="F5" i="11"/>
  <c r="G6" i="10"/>
  <c r="G5" i="10"/>
  <c r="D13" i="7"/>
  <c r="F10" i="9"/>
  <c r="F5" i="9"/>
  <c r="F5" i="5"/>
  <c r="F6" i="5"/>
  <c r="F7" i="5"/>
  <c r="F8" i="5"/>
  <c r="F9" i="5"/>
  <c r="F10" i="5"/>
  <c r="F11" i="5"/>
  <c r="F12" i="5"/>
  <c r="F13" i="5"/>
  <c r="F4" i="5"/>
  <c r="D5" i="5"/>
  <c r="D6" i="5"/>
  <c r="D7" i="5"/>
  <c r="D8" i="5"/>
  <c r="D9" i="5"/>
  <c r="D10" i="5"/>
  <c r="D11" i="5"/>
  <c r="D12" i="5"/>
  <c r="D13" i="5"/>
  <c r="D4" i="5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4" i="4"/>
  <c r="G4" i="4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4" i="4"/>
  <c r="I7" i="1"/>
  <c r="I6" i="1"/>
  <c r="F7" i="1"/>
  <c r="F6" i="1"/>
  <c r="I102" i="17" l="1"/>
  <c r="F9" i="14"/>
  <c r="F5" i="14"/>
  <c r="F7" i="14"/>
  <c r="F8" i="14"/>
  <c r="F10" i="14"/>
  <c r="F6" i="14"/>
</calcChain>
</file>

<file path=xl/sharedStrings.xml><?xml version="1.0" encoding="utf-8"?>
<sst xmlns="http://schemas.openxmlformats.org/spreadsheetml/2006/main" count="454" uniqueCount="231">
  <si>
    <t>Code Produit</t>
  </si>
  <si>
    <t>Nom Produit</t>
  </si>
  <si>
    <t>Code</t>
  </si>
  <si>
    <t>Nom</t>
  </si>
  <si>
    <t>P001</t>
  </si>
  <si>
    <t>Spaghetti</t>
  </si>
  <si>
    <t>Laiterie</t>
  </si>
  <si>
    <t>P002</t>
  </si>
  <si>
    <t>Lait Écrémé</t>
  </si>
  <si>
    <t>P003</t>
  </si>
  <si>
    <t>Pain Complet</t>
  </si>
  <si>
    <t>Boulangerie</t>
  </si>
  <si>
    <t>P004</t>
  </si>
  <si>
    <t>Beurre Salé</t>
  </si>
  <si>
    <t>P005</t>
  </si>
  <si>
    <t>P006</t>
  </si>
  <si>
    <t>Pommes Vertes</t>
  </si>
  <si>
    <t>Fruits et Légumes</t>
  </si>
  <si>
    <t>P007</t>
  </si>
  <si>
    <t>Jus d'Orange Frais</t>
  </si>
  <si>
    <t>Prix Unitaire</t>
  </si>
  <si>
    <t>Quantité</t>
  </si>
  <si>
    <t>Prix Total</t>
  </si>
  <si>
    <t>Transactions de Vente des Produits</t>
  </si>
  <si>
    <t>Date Transaction</t>
  </si>
  <si>
    <t>Fromage Gouda</t>
  </si>
  <si>
    <t>Tableau des Produits</t>
  </si>
  <si>
    <t>Catégorie Produit</t>
  </si>
  <si>
    <t>Catégorie</t>
  </si>
  <si>
    <t>Code Étudiant</t>
  </si>
  <si>
    <t>Nom Complet</t>
  </si>
  <si>
    <t>Note Finale</t>
  </si>
  <si>
    <t>E101</t>
  </si>
  <si>
    <t>Amine El Mansouri</t>
  </si>
  <si>
    <t>E102</t>
  </si>
  <si>
    <t>Fatima Zahra Benali</t>
  </si>
  <si>
    <t>E103</t>
  </si>
  <si>
    <t>Youssef Kabbaj</t>
  </si>
  <si>
    <t>E104</t>
  </si>
  <si>
    <t>Salma Bouziane</t>
  </si>
  <si>
    <t>E105</t>
  </si>
  <si>
    <t>Ahmed Alami</t>
  </si>
  <si>
    <t xml:space="preserve">Étudiant recherché </t>
  </si>
  <si>
    <t>Note</t>
  </si>
  <si>
    <t>Tableau des Étudiants</t>
  </si>
  <si>
    <t>Matricule</t>
  </si>
  <si>
    <t>Pays</t>
  </si>
  <si>
    <t>Continent</t>
  </si>
  <si>
    <t>Chiffre d'Affaires</t>
  </si>
  <si>
    <t>F101</t>
  </si>
  <si>
    <t>Ali Bensouda</t>
  </si>
  <si>
    <t>Espagne</t>
  </si>
  <si>
    <t>F102</t>
  </si>
  <si>
    <t>Fatima Diop</t>
  </si>
  <si>
    <t>France</t>
  </si>
  <si>
    <t>F103</t>
  </si>
  <si>
    <t>Carlos Garcia</t>
  </si>
  <si>
    <t>F104</t>
  </si>
  <si>
    <t>Marie Dupont</t>
  </si>
  <si>
    <t>F105</t>
  </si>
  <si>
    <t>Moussa Ndiaye</t>
  </si>
  <si>
    <t>Maroc</t>
  </si>
  <si>
    <t>F106</t>
  </si>
  <si>
    <t>Youssef Haddad</t>
  </si>
  <si>
    <t>F107</t>
  </si>
  <si>
    <t>Pablo Ramirez</t>
  </si>
  <si>
    <t>F108</t>
  </si>
  <si>
    <t>Sophie Martin</t>
  </si>
  <si>
    <t>F109</t>
  </si>
  <si>
    <t>Ahmed El Fassi</t>
  </si>
  <si>
    <t>F110</t>
  </si>
  <si>
    <t>Awa Ba</t>
  </si>
  <si>
    <t>Sénégal</t>
  </si>
  <si>
    <t>Afrique</t>
  </si>
  <si>
    <t>Europe</t>
  </si>
  <si>
    <t>Échelon Promotion</t>
  </si>
  <si>
    <t>Pas de promotion</t>
  </si>
  <si>
    <t>Niveau 1</t>
  </si>
  <si>
    <t>Niveau 2</t>
  </si>
  <si>
    <t>Niveau 3</t>
  </si>
  <si>
    <t>Tableau des Échelons Promotionnels</t>
  </si>
  <si>
    <t>Nom Employé</t>
  </si>
  <si>
    <t>Année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</si>
  <si>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</si>
  <si>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</si>
  <si>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</si>
  <si>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</si>
  <si>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</si>
  <si>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</si>
  <si>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</si>
  <si>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</si>
  <si>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</si>
  <si>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</si>
  <si>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</si>
  <si>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</si>
  <si>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Mois</t>
  </si>
  <si>
    <t>Tableau des Températures Mensuelles par Année</t>
  </si>
  <si>
    <t>Température</t>
  </si>
  <si>
    <t>Recherche Température</t>
  </si>
  <si>
    <t>Code Livre</t>
  </si>
  <si>
    <t>Titre du Livre</t>
  </si>
  <si>
    <t>L001</t>
  </si>
  <si>
    <t>Le Petit Prince</t>
  </si>
  <si>
    <t>L002</t>
  </si>
  <si>
    <t>Harry Potter</t>
  </si>
  <si>
    <t>L003</t>
  </si>
  <si>
    <t>L004</t>
  </si>
  <si>
    <t>L005</t>
  </si>
  <si>
    <t>La Peste</t>
  </si>
  <si>
    <t>Prix</t>
  </si>
  <si>
    <t>Tableau des Livres</t>
  </si>
  <si>
    <t>The Hunger Games</t>
  </si>
  <si>
    <t>Titre Livre</t>
  </si>
  <si>
    <t>Position</t>
  </si>
  <si>
    <t>Les Misérables</t>
  </si>
  <si>
    <t>L006</t>
  </si>
  <si>
    <t>Position Lignes</t>
  </si>
  <si>
    <t>Position Colonnes</t>
  </si>
  <si>
    <t>Don Quichotte</t>
  </si>
  <si>
    <t>Valeur</t>
  </si>
  <si>
    <t>Recherche Position par Contenu</t>
  </si>
  <si>
    <t>Recherche Contenu par Position</t>
  </si>
  <si>
    <t>Poste</t>
  </si>
  <si>
    <t>F001</t>
  </si>
  <si>
    <t>Karim</t>
  </si>
  <si>
    <t>Chef de projet</t>
  </si>
  <si>
    <t>F002</t>
  </si>
  <si>
    <t>Latifa</t>
  </si>
  <si>
    <t>Ingénieur</t>
  </si>
  <si>
    <t>F003</t>
  </si>
  <si>
    <t>Yassine</t>
  </si>
  <si>
    <t>Comptable</t>
  </si>
  <si>
    <t>F004</t>
  </si>
  <si>
    <t>Samira</t>
  </si>
  <si>
    <t>Secrétaire</t>
  </si>
  <si>
    <t>F005</t>
  </si>
  <si>
    <t>Khalid</t>
  </si>
  <si>
    <t>Technicien</t>
  </si>
  <si>
    <t>F006</t>
  </si>
  <si>
    <t>Amina</t>
  </si>
  <si>
    <t>Responsable RH</t>
  </si>
  <si>
    <t>Salaire</t>
  </si>
  <si>
    <t>Recherche par Poste</t>
  </si>
  <si>
    <t>Tableau des Salariés</t>
  </si>
  <si>
    <t>Zone de Vie</t>
  </si>
  <si>
    <t>Poids (kg)</t>
  </si>
  <si>
    <t>Lion</t>
  </si>
  <si>
    <t>Zone de savane</t>
  </si>
  <si>
    <t>Ours brun</t>
  </si>
  <si>
    <t>Zone montagneuse</t>
  </si>
  <si>
    <t>Chameau</t>
  </si>
  <si>
    <t>Zone désertique</t>
  </si>
  <si>
    <t>Aigle royal</t>
  </si>
  <si>
    <t>Serpent</t>
  </si>
  <si>
    <t>Zone forestière</t>
  </si>
  <si>
    <t>Singe</t>
  </si>
  <si>
    <t>Loup</t>
  </si>
  <si>
    <t>Gazelle</t>
  </si>
  <si>
    <t>Nom Animal</t>
  </si>
  <si>
    <t>Poids</t>
  </si>
  <si>
    <t>Chien</t>
  </si>
  <si>
    <t>Répartition des Animaux du Zoo</t>
  </si>
  <si>
    <t>Recherche par Animal</t>
  </si>
  <si>
    <t>FATIMA BEN ALI - 1990</t>
  </si>
  <si>
    <t>YOUSSEF el amrani - 1987</t>
  </si>
  <si>
    <t>HASSAN EL FASSI - 1988</t>
  </si>
  <si>
    <t>Année Naissance</t>
  </si>
  <si>
    <t xml:space="preserve">sara berrada - 1995  </t>
  </si>
  <si>
    <t xml:space="preserve">    MOHAMED ALAMI   - 1983    </t>
  </si>
  <si>
    <t xml:space="preserve">           SAMIRA JOUTI - 1986</t>
  </si>
  <si>
    <t>Nom complet</t>
  </si>
  <si>
    <t>Emplacement "-"</t>
  </si>
  <si>
    <t>Informations Originales</t>
  </si>
  <si>
    <t>Nom complet brut</t>
  </si>
  <si>
    <t>Identifiant</t>
  </si>
  <si>
    <t xml:space="preserve">    ahmed el IDRISSI - 1985   </t>
  </si>
  <si>
    <t xml:space="preserve">KHALID bouziane - 1984   </t>
  </si>
  <si>
    <t xml:space="preserve">    anir AGNAW - 1998   </t>
  </si>
  <si>
    <t>anir AGNAW - 1998</t>
  </si>
  <si>
    <t>anir AGNAW</t>
  </si>
  <si>
    <t>Anir Agnaw</t>
  </si>
  <si>
    <t>Aninaw1998</t>
  </si>
  <si>
    <t>Génération d'Identifiants à partir des Noms et Années de Naissance</t>
  </si>
  <si>
    <t>Supression Espaces extra</t>
  </si>
  <si>
    <t>Youssef</t>
  </si>
  <si>
    <t>Mohamed</t>
  </si>
  <si>
    <t>Sara</t>
  </si>
  <si>
    <t>Hassan</t>
  </si>
  <si>
    <t>Années</t>
  </si>
  <si>
    <t>Jours</t>
  </si>
  <si>
    <t>Âge complet</t>
  </si>
  <si>
    <t>Détail des Âges en Années, Mois et Jours</t>
  </si>
  <si>
    <t>24 années, 6 mois et 2 jours</t>
  </si>
  <si>
    <t>Fatouma</t>
  </si>
  <si>
    <t>Date Naissance</t>
  </si>
  <si>
    <t>Produit</t>
  </si>
  <si>
    <t>Télévision</t>
  </si>
  <si>
    <t>Lave-linge</t>
  </si>
  <si>
    <t>Smartphone</t>
  </si>
  <si>
    <t>Réfrigérateur</t>
  </si>
  <si>
    <t>Chaise</t>
  </si>
  <si>
    <t>Micro-ondes</t>
  </si>
  <si>
    <t>Électronique</t>
  </si>
  <si>
    <t>Électroménager</t>
  </si>
  <si>
    <t>Mobilier</t>
  </si>
  <si>
    <t>Recherche par Produit</t>
  </si>
  <si>
    <t>Nom produit</t>
  </si>
  <si>
    <t>Tableau des Produits de Livraison</t>
  </si>
  <si>
    <t>Tableau des durées de Livraison (en jours ouvrables)</t>
  </si>
  <si>
    <t>Catégorie produit</t>
  </si>
  <si>
    <t>Prix unitaire</t>
  </si>
  <si>
    <t>Durée Livraison</t>
  </si>
  <si>
    <t>Réfrigérateur LG</t>
  </si>
  <si>
    <t>Lave-linge Samsung</t>
  </si>
  <si>
    <t>Livres</t>
  </si>
  <si>
    <t>Four à micro-ondes Sharp</t>
  </si>
  <si>
    <t>Soin &amp; Beauté</t>
  </si>
  <si>
    <t>Fer à repasser Tefal</t>
  </si>
  <si>
    <t>Livre 'Le Petit Prince'</t>
  </si>
  <si>
    <t>Livre '1984'</t>
  </si>
  <si>
    <t>Livre 'L'Alchimiste'</t>
  </si>
  <si>
    <t>Séchoir à cheveux Philips</t>
  </si>
  <si>
    <t>Crème hydratante Nivea</t>
  </si>
  <si>
    <t>Brosse à dents électrique Oral-B</t>
  </si>
  <si>
    <t>Date commande</t>
  </si>
  <si>
    <t>Produit commandé</t>
  </si>
  <si>
    <t>Date Livraison</t>
  </si>
  <si>
    <t>Total</t>
  </si>
  <si>
    <t>Tableau Général des Commandes</t>
  </si>
  <si>
    <t>Catégorie Prod.</t>
  </si>
  <si>
    <t>Mois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</si>
</sst>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\ &quot;€&quot;"/>
    <numFmt numFmtId="166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.5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2" xfId="0" applyNumberFormat="1" applyBorder="1" applyAlignment="1">
      <alignment horizontal="right" indent="1"/>
    </xf>
    <xf numFmtId="164" fontId="0" fillId="0" borderId="9" xfId="0" applyNumberFormat="1" applyBorder="1" applyAlignment="1">
      <alignment horizontal="right" indent="1"/>
    </xf>
    <xf numFmtId="0" fontId="1" fillId="5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indent="1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right" indent="1"/>
    </xf>
    <xf numFmtId="2" fontId="0" fillId="4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left" indent="1"/>
    </xf>
    <xf numFmtId="0" fontId="5" fillId="9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0" fillId="0" borderId="9" xfId="0" applyBorder="1"/>
    <xf numFmtId="0" fontId="10" fillId="15" borderId="1" xfId="0" applyFont="1" applyFill="1" applyBorder="1" applyAlignment="1">
      <alignment horizontal="left" vertical="center"/>
    </xf>
    <xf numFmtId="0" fontId="9" fillId="14" borderId="0" xfId="0" applyFont="1" applyFill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165" fontId="0" fillId="0" borderId="9" xfId="0" applyNumberFormat="1" applyBorder="1"/>
    <xf numFmtId="165" fontId="0" fillId="0" borderId="1" xfId="0" applyNumberFormat="1" applyBorder="1" applyAlignment="1">
      <alignment horizontal="right" indent="1"/>
    </xf>
    <xf numFmtId="0" fontId="0" fillId="17" borderId="9" xfId="0" applyFill="1" applyBorder="1"/>
    <xf numFmtId="14" fontId="0" fillId="17" borderId="12" xfId="0" applyNumberFormat="1" applyFill="1" applyBorder="1" applyAlignment="1">
      <alignment horizontal="left"/>
    </xf>
    <xf numFmtId="14" fontId="0" fillId="0" borderId="12" xfId="0" applyNumberFormat="1" applyBorder="1" applyAlignment="1">
      <alignment horizontal="left"/>
    </xf>
    <xf numFmtId="166" fontId="0" fillId="17" borderId="9" xfId="0" applyNumberFormat="1" applyFill="1" applyBorder="1"/>
    <xf numFmtId="166" fontId="0" fillId="0" borderId="9" xfId="0" applyNumberFormat="1" applyBorder="1"/>
    <xf numFmtId="0" fontId="9" fillId="16" borderId="0" xfId="0" applyFont="1" applyFill="1" applyAlignment="1">
      <alignment horizontal="center" vertical="center"/>
    </xf>
    <xf numFmtId="0" fontId="9" fillId="16" borderId="13" xfId="0" applyFont="1" applyFill="1" applyBorder="1" applyAlignment="1">
      <alignment horizontal="center" vertical="center"/>
    </xf>
    <xf numFmtId="166" fontId="0" fillId="0" borderId="0" xfId="0" applyNumberFormat="1"/>
    <xf numFmtId="166" fontId="0" fillId="4" borderId="1" xfId="0" applyNumberFormat="1" applyFill="1" applyBorder="1"/>
    <xf numFmtId="0" fontId="9" fillId="19" borderId="1" xfId="0" applyFont="1" applyFill="1" applyBorder="1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14" fontId="0" fillId="0" borderId="1" xfId="0" applyNumberFormat="1" applyBorder="1" applyAlignment="1">
      <alignment horizontal="right" indent="1"/>
    </xf>
    <xf numFmtId="165" fontId="0" fillId="0" borderId="1" xfId="0" applyNumberFormat="1" applyBorder="1"/>
    <xf numFmtId="0" fontId="1" fillId="2" borderId="1" xfId="0" applyFont="1" applyFill="1" applyBorder="1"/>
    <xf numFmtId="0" fontId="0" fillId="10" borderId="1" xfId="0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right" vertical="center" inden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/>
    <xf numFmtId="165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right" indent="1"/>
    </xf>
    <xf numFmtId="14" fontId="0" fillId="4" borderId="1" xfId="0" applyNumberFormat="1" applyFill="1" applyBorder="1" applyAlignment="1">
      <alignment horizontal="center"/>
    </xf>
    <xf numFmtId="164" fontId="0" fillId="23" borderId="1" xfId="0" applyNumberFormat="1" applyFill="1" applyBorder="1" applyAlignment="1">
      <alignment horizontal="right" indent="1"/>
    </xf>
    <xf numFmtId="0" fontId="0" fillId="23" borderId="1" xfId="0" applyFill="1" applyBorder="1" applyAlignment="1">
      <alignment horizontal="center"/>
    </xf>
    <xf numFmtId="0" fontId="0" fillId="23" borderId="1" xfId="0" applyFill="1" applyBorder="1" applyAlignment="1">
      <alignment horizontal="right" indent="1"/>
    </xf>
    <xf numFmtId="14" fontId="0" fillId="0" borderId="3" xfId="0" applyNumberFormat="1" applyBorder="1" applyAlignment="1">
      <alignment horizontal="center"/>
    </xf>
    <xf numFmtId="164" fontId="0" fillId="4" borderId="2" xfId="0" applyNumberFormat="1" applyFill="1" applyBorder="1" applyAlignment="1">
      <alignment horizontal="right" indent="1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0" fillId="0" borderId="8" xfId="0" applyBorder="1" applyAlignment="1">
      <alignment horizontal="right" indent="1"/>
    </xf>
    <xf numFmtId="0" fontId="0" fillId="23" borderId="8" xfId="0" applyFill="1" applyBorder="1" applyAlignment="1">
      <alignment horizontal="right" indent="1"/>
    </xf>
    <xf numFmtId="14" fontId="0" fillId="4" borderId="8" xfId="0" applyNumberFormat="1" applyFill="1" applyBorder="1" applyAlignment="1">
      <alignment horizontal="center"/>
    </xf>
    <xf numFmtId="164" fontId="0" fillId="23" borderId="8" xfId="0" applyNumberFormat="1" applyFill="1" applyBorder="1" applyAlignment="1">
      <alignment horizontal="right" indent="1"/>
    </xf>
    <xf numFmtId="164" fontId="0" fillId="4" borderId="9" xfId="0" applyNumberFormat="1" applyFill="1" applyBorder="1" applyAlignment="1">
      <alignment horizontal="right" indent="1"/>
    </xf>
    <xf numFmtId="0" fontId="0" fillId="4" borderId="8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4" borderId="9" xfId="0" applyNumberFormat="1" applyFont="1" applyFill="1" applyBorder="1" applyAlignment="1">
      <alignment horizontal="right" inden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4" borderId="8" xfId="0" applyFill="1" applyBorder="1" applyAlignment="1">
      <alignment horizontal="left"/>
    </xf>
    <xf numFmtId="164" fontId="0" fillId="4" borderId="8" xfId="0" applyNumberFormat="1" applyFill="1" applyBorder="1" applyAlignment="1">
      <alignment horizontal="right" indent="1"/>
    </xf>
    <xf numFmtId="0" fontId="0" fillId="4" borderId="8" xfId="0" applyFill="1" applyBorder="1" applyAlignment="1">
      <alignment horizontal="right" inden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b/>
      </font>
      <fill>
        <patternFill patternType="solid">
          <fgColor indexed="64"/>
          <bgColor theme="7" tint="0.59999389629810485"/>
        </patternFill>
      </fill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numFmt numFmtId="164" formatCode="#,##0.00\ &quot;€&quot;"/>
      <fill>
        <patternFill patternType="solid">
          <fgColor indexed="64"/>
          <bgColor theme="7" tint="0.59999389629810485"/>
        </patternFill>
      </fill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.00\ &quot;€&quot;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#,##0.0\ &quot;€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numFmt numFmtId="164" formatCode="#,##0.00\ &quot;€&quot;"/>
      <fill>
        <patternFill patternType="solid">
          <fgColor indexed="64"/>
          <bgColor theme="7" tint="0.59999389629810485"/>
        </patternFill>
      </fill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.00\ &quot;€&quot;"/>
      <fill>
        <patternFill patternType="solid">
          <fgColor indexed="64"/>
          <bgColor theme="7" tint="0.59999389629810485"/>
        </patternFill>
      </fill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.00\ &quot;€&quot;"/>
    </dxf>
    <dxf>
      <numFmt numFmtId="164" formatCode="#,##0.00\ &quot;€&quot;"/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8</xdr:row>
      <xdr:rowOff>165101</xdr:rowOff>
    </xdr:from>
    <xdr:to>
      <xdr:col>5</xdr:col>
      <xdr:colOff>1206500</xdr:colOff>
      <xdr:row>11</xdr:row>
      <xdr:rowOff>114300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1A7547E-64EA-41F4-B6FD-A7F7B2DE7C26}"/>
            </a:ext>
          </a:extLst>
        </xdr:cNvPr>
        <xdr:cNvSpPr txBox="1"/>
      </xdr:nvSpPr>
      <xdr:spPr>
        <a:xfrm>
          <a:off x="1390650" y="1828801"/>
          <a:ext cx="3721100" cy="520699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À partir du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Code de l'étudiant recherché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, trouvez dans le tableau son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Nom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sa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Note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correspondants.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158750</xdr:colOff>
      <xdr:row>24</xdr:row>
      <xdr:rowOff>76522</xdr:rowOff>
    </xdr:from>
    <xdr:to>
      <xdr:col>11</xdr:col>
      <xdr:colOff>127001</xdr:colOff>
      <xdr:row>42</xdr:row>
      <xdr:rowOff>119057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FEE5A40-3793-40B7-A16D-DEA3A63415FC}"/>
            </a:ext>
          </a:extLst>
        </xdr:cNvPr>
        <xdr:cNvSpPr txBox="1"/>
      </xdr:nvSpPr>
      <xdr:spPr>
        <a:xfrm>
          <a:off x="7246938" y="1608460"/>
          <a:ext cx="3016251" cy="175703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• En utilisant les</a:t>
          </a:r>
          <a:r>
            <a:rPr lang="fr-FR" sz="1400" b="0" baseline="0">
              <a:solidFill>
                <a:schemeClr val="accent6">
                  <a:lumMod val="50000"/>
                </a:schemeClr>
              </a:solidFill>
            </a:rPr>
            <a:t> informations du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fr-FR" sz="1400" b="1">
              <a:solidFill>
                <a:schemeClr val="accent6">
                  <a:lumMod val="50000"/>
                </a:schemeClr>
              </a:solidFill>
            </a:rPr>
            <a:t>tableau des Produits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, complétez le tableau des transactions de vente suivant. </a:t>
          </a:r>
        </a:p>
        <a:p>
          <a:pPr algn="l"/>
          <a:endParaRPr lang="fr-FR" sz="800" b="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srgbClr val="70AD47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• 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Affichez ensuite le </a:t>
          </a:r>
          <a:r>
            <a:rPr lang="fr-FR" sz="1400" b="0" u="sng">
              <a:solidFill>
                <a:schemeClr val="accent6">
                  <a:lumMod val="50000"/>
                </a:schemeClr>
              </a:solidFill>
            </a:rPr>
            <a:t>total des ventes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 pour tous les produits de la catégorie </a:t>
          </a:r>
          <a:r>
            <a:rPr lang="fr-FR" sz="1400" b="1">
              <a:solidFill>
                <a:schemeClr val="accent6">
                  <a:lumMod val="50000"/>
                </a:schemeClr>
              </a:solidFill>
            </a:rPr>
            <a:t>Fruits et Légumes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  <xdr:twoCellAnchor editAs="absolute">
    <xdr:from>
      <xdr:col>7</xdr:col>
      <xdr:colOff>419100</xdr:colOff>
      <xdr:row>0</xdr:row>
      <xdr:rowOff>166688</xdr:rowOff>
    </xdr:from>
    <xdr:to>
      <xdr:col>9</xdr:col>
      <xdr:colOff>723900</xdr:colOff>
      <xdr:row>23</xdr:row>
      <xdr:rowOff>111125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Catégorie Produit">
              <a:extLst>
                <a:ext uri="{FF2B5EF4-FFF2-40B4-BE49-F238E27FC236}">
                  <a16:creationId xmlns:a16="http://schemas.microsoft.com/office/drawing/2014/main" id="{C9584435-20BC-6DD2-C39B-1F7066149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 Produi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7288" y="166688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214313</xdr:colOff>
      <xdr:row>14</xdr:row>
      <xdr:rowOff>7938</xdr:rowOff>
    </xdr:from>
    <xdr:to>
      <xdr:col>5</xdr:col>
      <xdr:colOff>452438</xdr:colOff>
      <xdr:row>16</xdr:row>
      <xdr:rowOff>174625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C62B82D-0292-41AB-9A9F-6FF31BF542BB}"/>
            </a:ext>
          </a:extLst>
        </xdr:cNvPr>
        <xdr:cNvSpPr txBox="1"/>
      </xdr:nvSpPr>
      <xdr:spPr>
        <a:xfrm>
          <a:off x="960438" y="2714626"/>
          <a:ext cx="4127500" cy="54768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Complétez les</a:t>
          </a:r>
          <a:r>
            <a:rPr lang="fr-FR" sz="1300" b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colonnes </a:t>
          </a:r>
          <a:r>
            <a:rPr lang="fr-FR" sz="1300" b="1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Continent</a:t>
          </a:r>
          <a:r>
            <a:rPr lang="fr-FR" sz="1300" b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</a:t>
          </a:r>
          <a:r>
            <a:rPr lang="fr-FR" sz="1300" b="1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Échelon Promotion</a:t>
          </a:r>
          <a:r>
            <a:rPr lang="fr-FR" sz="1300" b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en utilisant les tables de références à droite.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210910</xdr:colOff>
      <xdr:row>3</xdr:row>
      <xdr:rowOff>149679</xdr:rowOff>
    </xdr:from>
    <xdr:to>
      <xdr:col>9</xdr:col>
      <xdr:colOff>177800</xdr:colOff>
      <xdr:row>7</xdr:row>
      <xdr:rowOff>68035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3078658-7D0F-4381-BC00-C2A64D3B9EDB}"/>
            </a:ext>
          </a:extLst>
        </xdr:cNvPr>
        <xdr:cNvSpPr txBox="1"/>
      </xdr:nvSpPr>
      <xdr:spPr>
        <a:xfrm>
          <a:off x="5881460" y="752929"/>
          <a:ext cx="2252890" cy="75655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Complétez les recherches suivantes par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Contenu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et par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Position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464243</xdr:colOff>
      <xdr:row>9</xdr:row>
      <xdr:rowOff>72036</xdr:rowOff>
    </xdr:from>
    <xdr:to>
      <xdr:col>11</xdr:col>
      <xdr:colOff>32016</xdr:colOff>
      <xdr:row>12</xdr:row>
      <xdr:rowOff>64033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EAA402D-AE41-4559-961D-6485879B60AE}"/>
            </a:ext>
          </a:extLst>
        </xdr:cNvPr>
        <xdr:cNvSpPr txBox="1"/>
      </xdr:nvSpPr>
      <xdr:spPr>
        <a:xfrm>
          <a:off x="3665924" y="1977036"/>
          <a:ext cx="4890567" cy="72037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En utilisant le tableau des températures mensuelles par année, recherchez la température correspondante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à l'année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et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au mois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indiqués dans la section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Recherche Température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195720</xdr:colOff>
      <xdr:row>7</xdr:row>
      <xdr:rowOff>84811</xdr:rowOff>
    </xdr:from>
    <xdr:to>
      <xdr:col>8</xdr:col>
      <xdr:colOff>358820</xdr:colOff>
      <xdr:row>10</xdr:row>
      <xdr:rowOff>39144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424F83A-2544-48CE-9233-5D214E8EEB23}"/>
            </a:ext>
          </a:extLst>
        </xdr:cNvPr>
        <xdr:cNvSpPr txBox="1"/>
      </xdr:nvSpPr>
      <xdr:spPr>
        <a:xfrm>
          <a:off x="3712141" y="1598373"/>
          <a:ext cx="3549042" cy="58715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En utilisant le tableau des Salariés, recherchez le </a:t>
          </a:r>
          <a:r>
            <a:rPr lang="fr-FR" sz="130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nom</a:t>
          </a:r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le </a:t>
          </a:r>
          <a:r>
            <a:rPr lang="fr-FR" sz="130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code</a:t>
          </a:r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du salarié à partir de son </a:t>
          </a:r>
          <a:r>
            <a:rPr lang="fr-FR" sz="13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Poste</a:t>
          </a:r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.</a:t>
          </a:r>
          <a:endParaRPr lang="fr-FR" sz="1300" b="0" baseline="0">
            <a:solidFill>
              <a:schemeClr val="accent5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231321</xdr:colOff>
      <xdr:row>7</xdr:row>
      <xdr:rowOff>95251</xdr:rowOff>
    </xdr:from>
    <xdr:to>
      <xdr:col>8</xdr:col>
      <xdr:colOff>163284</xdr:colOff>
      <xdr:row>12</xdr:row>
      <xdr:rowOff>88447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C5A0B4C-A7A5-474D-8D50-1D4AAA58D0EA}"/>
            </a:ext>
          </a:extLst>
        </xdr:cNvPr>
        <xdr:cNvSpPr txBox="1"/>
      </xdr:nvSpPr>
      <xdr:spPr>
        <a:xfrm>
          <a:off x="3707946" y="1496787"/>
          <a:ext cx="4476749" cy="945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En utilisant le tableau de la Répartition des Animaux, indiquez la zone de vie et le poids correspondant à l'animal recherché. </a:t>
          </a:r>
        </a:p>
        <a:p>
          <a:pPr algn="l"/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Dans le cas où l'animal n'est pas retrouvé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, un </a:t>
          </a:r>
          <a:r>
            <a:rPr lang="fr-FR" sz="12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message indiquera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que l'animal n'existe pas dans le zoo.</a:t>
          </a:r>
          <a:endParaRPr lang="fr-FR" sz="1250" b="0" baseline="0">
            <a:solidFill>
              <a:schemeClr val="accent5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6</xdr:row>
      <xdr:rowOff>165100</xdr:rowOff>
    </xdr:from>
    <xdr:to>
      <xdr:col>6</xdr:col>
      <xdr:colOff>768350</xdr:colOff>
      <xdr:row>9</xdr:row>
      <xdr:rowOff>107950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A224976-5EA6-4A53-BD6A-EA8FBB8BED7E}"/>
            </a:ext>
          </a:extLst>
        </xdr:cNvPr>
        <xdr:cNvSpPr txBox="1"/>
      </xdr:nvSpPr>
      <xdr:spPr>
        <a:xfrm>
          <a:off x="3517900" y="1358900"/>
          <a:ext cx="3321050" cy="5778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À partir du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Nom du Produit recherché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, trouvez dans le tableau sa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Catégorie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son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Prix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correspondants.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1707285</xdr:colOff>
      <xdr:row>12</xdr:row>
      <xdr:rowOff>116580</xdr:rowOff>
    </xdr:from>
    <xdr:to>
      <xdr:col>6</xdr:col>
      <xdr:colOff>806740</xdr:colOff>
      <xdr:row>16</xdr:row>
      <xdr:rowOff>127404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4E350C2-74F8-4369-A8D4-CC432B1788F7}"/>
            </a:ext>
          </a:extLst>
        </xdr:cNvPr>
        <xdr:cNvSpPr txBox="1"/>
      </xdr:nvSpPr>
      <xdr:spPr>
        <a:xfrm>
          <a:off x="2094743" y="2667343"/>
          <a:ext cx="6009116" cy="785739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En utilisant les informations de la colonne "Informations Originales", créez un identifiant unique pour chaque individu. L'identifiant est formé en </a:t>
          </a:r>
          <a:r>
            <a:rPr lang="fr-FR" sz="12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joignant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les </a:t>
          </a:r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trois premières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les </a:t>
          </a:r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trois dernières lettres</a:t>
          </a:r>
          <a:r>
            <a:rPr lang="fr-FR" sz="1250" b="0" u="none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du </a:t>
          </a:r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nom complet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, suivies de </a:t>
          </a:r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l'année de naissance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.</a:t>
          </a:r>
          <a:endParaRPr lang="fr-FR" sz="1250" b="0" baseline="0">
            <a:solidFill>
              <a:schemeClr val="accent5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156480</xdr:colOff>
      <xdr:row>2</xdr:row>
      <xdr:rowOff>74840</xdr:rowOff>
    </xdr:from>
    <xdr:to>
      <xdr:col>9</xdr:col>
      <xdr:colOff>27212</xdr:colOff>
      <xdr:row>7</xdr:row>
      <xdr:rowOff>88447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90D1002-C812-4D6B-A52C-3AC4E09F000C}"/>
            </a:ext>
          </a:extLst>
        </xdr:cNvPr>
        <xdr:cNvSpPr txBox="1"/>
      </xdr:nvSpPr>
      <xdr:spPr>
        <a:xfrm>
          <a:off x="6293301" y="476251"/>
          <a:ext cx="2156732" cy="10477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En utilisant les dates de naissance fournies, calculez l'âge de chaque individu </a:t>
          </a:r>
          <a:br>
            <a:rPr lang="fr-FR" sz="1300" b="0">
              <a:solidFill>
                <a:schemeClr val="accent6">
                  <a:lumMod val="50000"/>
                </a:schemeClr>
              </a:solidFill>
            </a:rPr>
          </a:b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en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années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,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mois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et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jours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120015</xdr:colOff>
      <xdr:row>2</xdr:row>
      <xdr:rowOff>107103</xdr:rowOff>
    </xdr:from>
    <xdr:to>
      <xdr:col>11</xdr:col>
      <xdr:colOff>752747</xdr:colOff>
      <xdr:row>34</xdr:row>
      <xdr:rowOff>76624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55ED750-A0CB-4107-A979-0F1DFFDDC32B}"/>
            </a:ext>
          </a:extLst>
        </xdr:cNvPr>
        <xdr:cNvSpPr txBox="1"/>
      </xdr:nvSpPr>
      <xdr:spPr>
        <a:xfrm>
          <a:off x="11054715" y="792903"/>
          <a:ext cx="2156732" cy="176974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• En utilisant 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les tableaux de la feuille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Tableaux_Livraison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, complétez le tableau des Commandes suivant.</a:t>
          </a:r>
        </a:p>
        <a:p>
          <a:pPr algn="l"/>
          <a:endParaRPr lang="fr-FR" sz="800" b="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• Affichez 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ensuite le total des commandes effectuées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durant le mois de juillet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  <xdr:twoCellAnchor editAs="absolute">
    <xdr:from>
      <xdr:col>0</xdr:col>
      <xdr:colOff>1014310</xdr:colOff>
      <xdr:row>0</xdr:row>
      <xdr:rowOff>32663</xdr:rowOff>
    </xdr:from>
    <xdr:to>
      <xdr:col>2</xdr:col>
      <xdr:colOff>275796</xdr:colOff>
      <xdr:row>1</xdr:row>
      <xdr:rowOff>198428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Mois commande">
              <a:extLst>
                <a:ext uri="{FF2B5EF4-FFF2-40B4-BE49-F238E27FC236}">
                  <a16:creationId xmlns:a16="http://schemas.microsoft.com/office/drawing/2014/main" id="{5FCBCC63-9179-8048-7CEE-CD78300F79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comman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4310" y="32663"/>
              <a:ext cx="1823711" cy="622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_commande" xr10:uid="{B99896F7-AD9A-4BB2-BE38-9A7999451F7F}" sourceName="Mois commande">
  <extLst>
    <x:ext xmlns:x15="http://schemas.microsoft.com/office/spreadsheetml/2010/11/main" uri="{2F2917AC-EB37-4324-AD4E-5DD8C200BD13}">
      <x15:tableSlicerCache tableId="6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égorie_Produit" xr10:uid="{D2F7F907-9ADF-4818-9369-07BD5623DF00}" sourceName="Catégorie Produit">
  <extLst>
    <x:ext xmlns:x15="http://schemas.microsoft.com/office/spreadsheetml/2010/11/main" uri="{2F2917AC-EB37-4324-AD4E-5DD8C200BD13}">
      <x15:tableSlicerCache tableId="7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égorie Produit" xr10:uid="{D109C5B6-08B8-4363-8992-0A81565605A8}" cache="Segment_Catégorie_Produit" caption="Catégorie Produit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is commande" xr10:uid="{9B93B5C8-C472-43FB-9C12-FC1B7EDA7F45}" cache="Segment_Mois_commande" caption="Mois commande" columnCount="4" style="SlicerStyleDark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797646-8224-4819-8470-ACBBBEBA2BEC}" name="TabProduits" displayName="TabProduits" ref="A3:D10" headerRowDxfId="72" totalsRowDxfId="69" headerRowBorderDxfId="71" tableBorderDxfId="70">
  <autoFilter ref="A3:D10" xr:uid="{51797646-8224-4819-8470-ACBBBEBA2BEC}"/>
  <tableColumns count="4">
    <tableColumn id="1" xr3:uid="{53D8B3C7-1810-4D9F-BC78-3DE7DF5D7A16}" name="Code" totalsRowLabel="Total" dataDxfId="68"/>
    <tableColumn id="2" xr3:uid="{411E3E1C-6C42-4538-8666-5F67BA1112FD}" name="Nom" dataDxfId="67"/>
    <tableColumn id="3" xr3:uid="{89508CCE-3E36-4F65-96ED-DC090C03F49A}" name="Catégorie" dataDxfId="66"/>
    <tableColumn id="4" xr3:uid="{5C325945-959E-4DAF-8ACB-7584F2E13D8B}" name="Prix Unitaire" totalsRowFunction="sum" dataDxfId="65" totalsRowDxfId="6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3B629E-E669-4573-89EA-5E8AD93E1BC1}" name="Tableau1" displayName="Tableau1" ref="A3:G54" totalsRowCount="1" headerRowDxfId="63" headerRowBorderDxfId="62" tableBorderDxfId="61" totalsRowBorderDxfId="60">
  <autoFilter ref="A3:G53" xr:uid="{3C3B629E-E669-4573-89EA-5E8AD93E1BC1}">
    <filterColumn colId="0" hiddenButton="1"/>
    <filterColumn colId="1" hiddenButton="1"/>
    <filterColumn colId="2" hiddenButton="1"/>
    <filterColumn colId="3" hiddenButton="1">
      <filters>
        <filter val="Fruits et Légumes"/>
      </filters>
    </filterColumn>
    <filterColumn colId="4" hiddenButton="1"/>
    <filterColumn colId="5" hiddenButton="1"/>
    <filterColumn colId="6" hiddenButton="1"/>
  </autoFilter>
  <tableColumns count="7">
    <tableColumn id="1" xr3:uid="{A158E937-76ED-40DD-9914-2FB08A6692B0}" name="Date Transaction" totalsRowLabel="Total" dataDxfId="59" totalsRowDxfId="58"/>
    <tableColumn id="2" xr3:uid="{545880D4-7A28-4B60-9362-5A4BD847B994}" name="Code Produit" dataDxfId="57" totalsRowDxfId="56"/>
    <tableColumn id="3" xr3:uid="{83CF94D4-8659-4A41-B191-E7F30B5ABFE8}" name="Nom Produit" dataDxfId="55" totalsRowDxfId="54">
      <calculatedColumnFormula>VLOOKUP(B4,TabProduits[],2,FALSE)</calculatedColumnFormula>
    </tableColumn>
    <tableColumn id="4" xr3:uid="{9A74EFA7-5025-42D6-A8CA-973058F59B5F}" name="Catégorie Produit" dataDxfId="53" totalsRowDxfId="52">
      <calculatedColumnFormula>VLOOKUP(B4,TabProduits[],3,FALSE)</calculatedColumnFormula>
    </tableColumn>
    <tableColumn id="5" xr3:uid="{9CB77DCD-92F7-48FB-AE4F-BA8870C206A6}" name="Quantité" dataDxfId="51" totalsRowDxfId="50"/>
    <tableColumn id="6" xr3:uid="{3BBA3293-544C-4346-B450-65C7812603A4}" name="Prix Unitaire" dataDxfId="49" totalsRowDxfId="48">
      <calculatedColumnFormula>VLOOKUP(B4,TabProduits[],4,FALSE)</calculatedColumnFormula>
    </tableColumn>
    <tableColumn id="7" xr3:uid="{C609D918-3731-4944-B549-3730DE5D3AC9}" name="Prix Total" totalsRowFunction="sum" dataDxfId="47" totalsRowDxfId="46">
      <calculatedColumnFormula>E4*F4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ECB1BB-0B51-4B27-95F5-A58657A5F48A}" name="TabPostes" displayName="TabPostes" ref="A3:D9" totalsRowShown="0" headerRowDxfId="45" tableBorderDxfId="44">
  <autoFilter ref="A3:D9" xr:uid="{68ECB1BB-0B51-4B27-95F5-A58657A5F48A}"/>
  <tableColumns count="4">
    <tableColumn id="1" xr3:uid="{E3D10649-CEA5-4244-949F-6D2AEC0FC259}" name="Code" dataDxfId="43"/>
    <tableColumn id="2" xr3:uid="{BA1BBA4B-57BE-4F6F-A0FB-108D3877AC40}" name="Nom" dataDxfId="42"/>
    <tableColumn id="3" xr3:uid="{602D6341-6584-4861-90D8-73556B2E1626}" name="Poste" dataDxfId="41"/>
    <tableColumn id="4" xr3:uid="{DC6C81CE-A2BD-44B6-AB33-E53192AC5643}" name="Salaire" dataDxfId="4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B1D05D-4F63-40AB-A12F-49B9951873CD}" name="TabAnimaux" displayName="TabAnimaux" ref="A3:C11" totalsRowShown="0" headerRowDxfId="39" tableBorderDxfId="38">
  <autoFilter ref="A3:C11" xr:uid="{55B1D05D-4F63-40AB-A12F-49B9951873CD}">
    <filterColumn colId="0" hiddenButton="1"/>
    <filterColumn colId="1" hiddenButton="1"/>
    <filterColumn colId="2" hiddenButton="1"/>
  </autoFilter>
  <tableColumns count="3">
    <tableColumn id="1" xr3:uid="{C3CE5BB6-055A-4901-A287-C7616D5CC853}" name="Nom Animal" dataDxfId="37"/>
    <tableColumn id="2" xr3:uid="{96EC4897-887D-4338-BFB1-53FCEBDF3731}" name="Zone de Vie" dataDxfId="36"/>
    <tableColumn id="3" xr3:uid="{B35B5BAD-1F9C-47FF-9D31-16C96CF4F050}" name="Poids (kg)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3D97B-3AF6-4B96-BA50-337F541EDB9E}" name="TabProdLivraison" displayName="TabProdLivraison" ref="A3:C13" totalsRowShown="0" headerRowDxfId="34" headerRowBorderDxfId="33" tableBorderDxfId="32" totalsRowBorderDxfId="31">
  <autoFilter ref="A3:C13" xr:uid="{3A93D97B-3AF6-4B96-BA50-337F541EDB9E}"/>
  <sortState xmlns:xlrd2="http://schemas.microsoft.com/office/spreadsheetml/2017/richdata2" ref="A4:C13">
    <sortCondition ref="B3:B13"/>
  </sortState>
  <tableColumns count="3">
    <tableColumn id="1" xr3:uid="{280E901C-DF7C-41BC-899D-6123A6FEB2F2}" name="Nom produit" dataDxfId="30"/>
    <tableColumn id="2" xr3:uid="{855D213D-2820-4F88-9435-AAEA13533D20}" name="Catégorie produit" dataDxfId="29"/>
    <tableColumn id="3" xr3:uid="{A8491DB9-646D-4AC4-83EE-DC3485A2A4F3}" name="Prix unitaire" dataDxfId="28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40FA01-0435-4895-9E30-9DF324FFA2CD}" name="TabDuréeLivraison" displayName="TabDuréeLivraison" ref="E3:F6" totalsRowShown="0" headerRowDxfId="27" headerRowBorderDxfId="26" tableBorderDxfId="25" totalsRowBorderDxfId="24">
  <autoFilter ref="E3:F6" xr:uid="{4540FA01-0435-4895-9E30-9DF324FFA2CD}"/>
  <tableColumns count="2">
    <tableColumn id="1" xr3:uid="{188A1F83-8AFC-40D7-AA3A-2F2ADB860779}" name="Catégorie produit" dataDxfId="23"/>
    <tableColumn id="2" xr3:uid="{865992B8-043D-4F28-A533-268CC1322434}" name="Durée Livraison" dataDxfId="22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338702-2325-4E25-914C-FA877C6D7FCB}" name="Tableau2" displayName="Tableau2" ref="A3:I102" totalsRowCount="1" headerRowDxfId="21" headerRowBorderDxfId="20" tableBorderDxfId="19" totalsRowBorderDxfId="18">
  <autoFilter ref="A3:I101" xr:uid="{01338702-2325-4E25-914C-FA877C6D7FCB}">
    <filterColumn colId="0" hiddenButton="1"/>
    <filterColumn colId="1" hiddenButton="1">
      <filters>
        <filter val="7"/>
      </filters>
    </filterColumn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C4E1457-7871-44C0-BFC2-C207853EA729}" name="Date commande" totalsRowLabel="Total" dataDxfId="17" totalsRowDxfId="16"/>
    <tableColumn id="2" xr3:uid="{84EDD064-54F3-4E8A-AE1B-1A39066A34F8}" name="Mois commande" dataDxfId="15" totalsRowDxfId="14">
      <calculatedColumnFormula>MONTH(A4)</calculatedColumnFormula>
    </tableColumn>
    <tableColumn id="3" xr3:uid="{A9A9EF24-A3EE-497C-94EB-2CE765735977}" name="Produit commandé" dataDxfId="13" totalsRowDxfId="12"/>
    <tableColumn id="4" xr3:uid="{933B7F7A-0555-4B00-A005-6C35BF67FF7C}" name="Quantité" dataDxfId="11" totalsRowDxfId="10"/>
    <tableColumn id="5" xr3:uid="{B213235A-198B-4471-95B0-3CD03CF2C8E4}" name="Catégorie Prod." dataDxfId="9" totalsRowDxfId="8">
      <calculatedColumnFormula>VLOOKUP(C4,TabProdLivraison[],2,FALSE)</calculatedColumnFormula>
    </tableColumn>
    <tableColumn id="6" xr3:uid="{AFB69F73-49E9-4FC6-A103-0BA3EE53B135}" name="Durée Livraison" dataDxfId="7" totalsRowDxfId="6">
      <calculatedColumnFormula>VLOOKUP(E4,TabDuréeLivraison[],2,FALSE)</calculatedColumnFormula>
    </tableColumn>
    <tableColumn id="7" xr3:uid="{7D13997E-DCC0-4361-9CD6-A6B6B85CE3BF}" name="Date Livraison" dataDxfId="5" totalsRowDxfId="4">
      <calculatedColumnFormula>WORKDAY(A4,F4)</calculatedColumnFormula>
    </tableColumn>
    <tableColumn id="8" xr3:uid="{A3534B05-7809-4445-99B8-03F6696B1AB6}" name="Prix Unitaire" dataDxfId="3" totalsRowDxfId="2">
      <calculatedColumnFormula>VLOOKUP(C4,TabProdLivraison[],3,FALSE)</calculatedColumnFormula>
    </tableColumn>
    <tableColumn id="9" xr3:uid="{A93FEA3B-527E-4C24-AF76-843D23F2FC45}" name="Total" totalsRowFunction="sum" dataDxfId="1" totalsRowDxfId="0">
      <calculatedColumnFormula>D4*H4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7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50" zoomScaleNormal="150" workbookViewId="0">
      <selection sqref="A1:C1"/>
    </sheetView>
  </sheetViews>
  <sheetFormatPr baseColWidth="10" defaultColWidth="9.140625" defaultRowHeight="15" x14ac:dyDescent="0.25"/>
  <cols>
    <col min="1" max="1" width="13.42578125" bestFit="1" customWidth="1"/>
    <col min="2" max="2" width="19" customWidth="1"/>
    <col min="3" max="3" width="11.28515625" customWidth="1"/>
    <col min="4" max="4" width="4.28515625" customWidth="1"/>
    <col min="5" max="5" width="10.42578125" customWidth="1"/>
    <col min="6" max="6" width="18.42578125" bestFit="1" customWidth="1"/>
    <col min="7" max="7" width="4.28515625" customWidth="1"/>
    <col min="8" max="8" width="10.42578125" customWidth="1"/>
    <col min="9" max="9" width="13.5703125" customWidth="1"/>
  </cols>
  <sheetData>
    <row r="1" spans="1:9" ht="17.25" customHeight="1" x14ac:dyDescent="0.25">
      <c r="A1" s="98" t="s">
        <v>44</v>
      </c>
      <c r="B1" s="98"/>
      <c r="C1" s="98"/>
    </row>
    <row r="2" spans="1:9" ht="9.75" customHeight="1" x14ac:dyDescent="0.25"/>
    <row r="3" spans="1:9" s="2" customFormat="1" ht="21" customHeight="1" x14ac:dyDescent="0.25">
      <c r="A3" s="7" t="s">
        <v>29</v>
      </c>
      <c r="B3" s="7" t="s">
        <v>30</v>
      </c>
      <c r="C3" s="7" t="s">
        <v>31</v>
      </c>
    </row>
    <row r="4" spans="1:9" ht="16.5" customHeight="1" x14ac:dyDescent="0.25">
      <c r="A4" s="3" t="s">
        <v>32</v>
      </c>
      <c r="B4" s="1" t="s">
        <v>33</v>
      </c>
      <c r="C4" s="20">
        <v>16.5</v>
      </c>
      <c r="E4" s="96" t="s">
        <v>42</v>
      </c>
      <c r="F4" s="97"/>
      <c r="H4" s="96" t="s">
        <v>42</v>
      </c>
      <c r="I4" s="97"/>
    </row>
    <row r="5" spans="1:9" ht="16.5" customHeight="1" x14ac:dyDescent="0.25">
      <c r="A5" s="3" t="s">
        <v>34</v>
      </c>
      <c r="B5" s="1" t="s">
        <v>35</v>
      </c>
      <c r="C5" s="20">
        <v>13.25</v>
      </c>
      <c r="E5" s="4" t="s">
        <v>2</v>
      </c>
      <c r="F5" s="19" t="s">
        <v>34</v>
      </c>
      <c r="H5" s="4" t="s">
        <v>2</v>
      </c>
      <c r="I5" s="19" t="s">
        <v>40</v>
      </c>
    </row>
    <row r="6" spans="1:9" ht="16.5" customHeight="1" x14ac:dyDescent="0.25">
      <c r="A6" s="3" t="s">
        <v>36</v>
      </c>
      <c r="B6" s="1" t="s">
        <v>37</v>
      </c>
      <c r="C6" s="20">
        <v>12</v>
      </c>
      <c r="E6" s="4" t="s">
        <v>3</v>
      </c>
      <c r="F6" s="5" t="str">
        <f>VLOOKUP(F5,$A$4:$C$8,2,FALSE)</f>
        <v>Fatima Zahra Benali</v>
      </c>
      <c r="H6" s="4" t="s">
        <v>3</v>
      </c>
      <c r="I6" s="5" t="str">
        <f>VLOOKUP(I5,$A$4:$C$8,2,FALSE)</f>
        <v>Ahmed Alami</v>
      </c>
    </row>
    <row r="7" spans="1:9" ht="16.5" customHeight="1" x14ac:dyDescent="0.25">
      <c r="A7" s="3" t="s">
        <v>38</v>
      </c>
      <c r="B7" s="1" t="s">
        <v>39</v>
      </c>
      <c r="C7" s="20">
        <v>14.5</v>
      </c>
      <c r="E7" s="4" t="s">
        <v>43</v>
      </c>
      <c r="F7" s="21">
        <f>VLOOKUP(F5,$A$4:$C$8,3,FALSE)</f>
        <v>13.25</v>
      </c>
      <c r="H7" s="4" t="s">
        <v>43</v>
      </c>
      <c r="I7" s="21">
        <f>VLOOKUP(I5,$A$4:$C$8,3,FALSE)</f>
        <v>19.25</v>
      </c>
    </row>
    <row r="8" spans="1:9" ht="16.5" customHeight="1" x14ac:dyDescent="0.25">
      <c r="A8" s="3" t="s">
        <v>40</v>
      </c>
      <c r="B8" s="1" t="s">
        <v>41</v>
      </c>
      <c r="C8" s="20">
        <v>19.25</v>
      </c>
    </row>
  </sheetData>
  <mergeCells count="3">
    <mergeCell ref="E4:F4"/>
    <mergeCell ref="H4:I4"/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2EC0-3570-413E-B80B-D93FBE7CF199}">
  <sheetPr>
    <tabColor theme="9" tint="0.39997558519241921"/>
  </sheetPr>
  <dimension ref="A1:D10"/>
  <sheetViews>
    <sheetView zoomScale="140" zoomScaleNormal="140" workbookViewId="0">
      <selection sqref="A1:D1"/>
    </sheetView>
  </sheetViews>
  <sheetFormatPr baseColWidth="10" defaultRowHeight="15" x14ac:dyDescent="0.25"/>
  <cols>
    <col min="1" max="1" width="14.42578125" customWidth="1"/>
    <col min="2" max="2" width="19" customWidth="1"/>
    <col min="3" max="3" width="16.7109375" bestFit="1" customWidth="1"/>
    <col min="4" max="4" width="16.28515625" customWidth="1"/>
  </cols>
  <sheetData>
    <row r="1" spans="1:4" ht="19.5" customHeight="1" x14ac:dyDescent="0.25">
      <c r="A1" s="99" t="s">
        <v>26</v>
      </c>
      <c r="B1" s="99"/>
      <c r="C1" s="99"/>
      <c r="D1" s="99"/>
    </row>
    <row r="2" spans="1:4" ht="12.75" customHeight="1" x14ac:dyDescent="0.25">
      <c r="A2" s="18"/>
      <c r="B2" s="18"/>
      <c r="C2" s="18"/>
      <c r="D2" s="18"/>
    </row>
    <row r="3" spans="1:4" ht="20.25" customHeight="1" x14ac:dyDescent="0.25">
      <c r="A3" s="11" t="s">
        <v>2</v>
      </c>
      <c r="B3" s="12" t="s">
        <v>3</v>
      </c>
      <c r="C3" s="12" t="s">
        <v>28</v>
      </c>
      <c r="D3" s="13" t="s">
        <v>20</v>
      </c>
    </row>
    <row r="4" spans="1:4" x14ac:dyDescent="0.25">
      <c r="A4" s="8" t="s">
        <v>4</v>
      </c>
      <c r="B4" s="1" t="s">
        <v>5</v>
      </c>
      <c r="C4" s="1" t="s">
        <v>6</v>
      </c>
      <c r="D4" s="14">
        <v>1.5</v>
      </c>
    </row>
    <row r="5" spans="1:4" x14ac:dyDescent="0.25">
      <c r="A5" s="8" t="s">
        <v>7</v>
      </c>
      <c r="B5" s="1" t="s">
        <v>8</v>
      </c>
      <c r="C5" s="1" t="s">
        <v>6</v>
      </c>
      <c r="D5" s="14">
        <v>0.9</v>
      </c>
    </row>
    <row r="6" spans="1:4" x14ac:dyDescent="0.25">
      <c r="A6" s="8" t="s">
        <v>9</v>
      </c>
      <c r="B6" s="1" t="s">
        <v>10</v>
      </c>
      <c r="C6" s="1" t="s">
        <v>11</v>
      </c>
      <c r="D6" s="14">
        <v>1.2</v>
      </c>
    </row>
    <row r="7" spans="1:4" x14ac:dyDescent="0.25">
      <c r="A7" s="8" t="s">
        <v>12</v>
      </c>
      <c r="B7" s="1" t="s">
        <v>13</v>
      </c>
      <c r="C7" s="1" t="s">
        <v>6</v>
      </c>
      <c r="D7" s="14">
        <v>2</v>
      </c>
    </row>
    <row r="8" spans="1:4" x14ac:dyDescent="0.25">
      <c r="A8" s="8" t="s">
        <v>14</v>
      </c>
      <c r="B8" s="1" t="s">
        <v>25</v>
      </c>
      <c r="C8" s="1" t="s">
        <v>6</v>
      </c>
      <c r="D8" s="14">
        <v>3.5</v>
      </c>
    </row>
    <row r="9" spans="1:4" x14ac:dyDescent="0.25">
      <c r="A9" s="8" t="s">
        <v>15</v>
      </c>
      <c r="B9" s="1" t="s">
        <v>16</v>
      </c>
      <c r="C9" s="1" t="s">
        <v>17</v>
      </c>
      <c r="D9" s="14">
        <v>2.8</v>
      </c>
    </row>
    <row r="10" spans="1:4" x14ac:dyDescent="0.25">
      <c r="A10" s="9" t="s">
        <v>18</v>
      </c>
      <c r="B10" s="10" t="s">
        <v>19</v>
      </c>
      <c r="C10" s="10" t="s">
        <v>17</v>
      </c>
      <c r="D10" s="15">
        <v>2.2999999999999998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92A8-01A9-408B-AC07-C809381C01B5}">
  <dimension ref="A1:G54"/>
  <sheetViews>
    <sheetView zoomScale="120" zoomScaleNormal="120" workbookViewId="0">
      <selection sqref="A1:G1"/>
    </sheetView>
  </sheetViews>
  <sheetFormatPr baseColWidth="10" defaultRowHeight="15" x14ac:dyDescent="0.25"/>
  <cols>
    <col min="1" max="1" width="17.7109375" customWidth="1"/>
    <col min="2" max="2" width="14.42578125" customWidth="1"/>
    <col min="3" max="3" width="18.140625" customWidth="1"/>
    <col min="4" max="4" width="18.7109375" customWidth="1"/>
    <col min="5" max="5" width="10.42578125" customWidth="1"/>
    <col min="6" max="6" width="13.5703125" customWidth="1"/>
    <col min="7" max="7" width="13.28515625" customWidth="1"/>
  </cols>
  <sheetData>
    <row r="1" spans="1:7" ht="24.75" customHeight="1" x14ac:dyDescent="0.25">
      <c r="A1" s="100" t="s">
        <v>23</v>
      </c>
      <c r="B1" s="100"/>
      <c r="C1" s="100"/>
      <c r="D1" s="100"/>
      <c r="E1" s="100"/>
      <c r="F1" s="100"/>
      <c r="G1" s="100"/>
    </row>
    <row r="2" spans="1:7" ht="13.5" customHeight="1" x14ac:dyDescent="0.25"/>
    <row r="3" spans="1:7" ht="21.75" customHeight="1" x14ac:dyDescent="0.25">
      <c r="A3" s="89" t="s">
        <v>24</v>
      </c>
      <c r="B3" s="90" t="s">
        <v>0</v>
      </c>
      <c r="C3" s="90" t="s">
        <v>1</v>
      </c>
      <c r="D3" s="90" t="s">
        <v>27</v>
      </c>
      <c r="E3" s="90" t="s">
        <v>21</v>
      </c>
      <c r="F3" s="90" t="s">
        <v>20</v>
      </c>
      <c r="G3" s="91" t="s">
        <v>22</v>
      </c>
    </row>
    <row r="4" spans="1:7" hidden="1" x14ac:dyDescent="0.25">
      <c r="A4" s="74">
        <v>45580</v>
      </c>
      <c r="B4" s="3" t="s">
        <v>14</v>
      </c>
      <c r="C4" s="6" t="str">
        <f>VLOOKUP(B4,TabProduits[],2,FALSE)</f>
        <v>Fromage Gouda</v>
      </c>
      <c r="D4" s="6" t="str">
        <f>VLOOKUP(B4,TabProduits[],3,FALSE)</f>
        <v>Laiterie</v>
      </c>
      <c r="E4" s="3">
        <v>9</v>
      </c>
      <c r="F4" s="17">
        <f>VLOOKUP(B4,TabProduits[],4,FALSE)</f>
        <v>3.5</v>
      </c>
      <c r="G4" s="75">
        <f>E4*F4</f>
        <v>31.5</v>
      </c>
    </row>
    <row r="5" spans="1:7" hidden="1" x14ac:dyDescent="0.25">
      <c r="A5" s="74">
        <v>45579</v>
      </c>
      <c r="B5" s="3" t="s">
        <v>14</v>
      </c>
      <c r="C5" s="6" t="str">
        <f>VLOOKUP(B5,TabProduits[],2,FALSE)</f>
        <v>Fromage Gouda</v>
      </c>
      <c r="D5" s="6" t="str">
        <f>VLOOKUP(B5,TabProduits[],3,FALSE)</f>
        <v>Laiterie</v>
      </c>
      <c r="E5" s="3">
        <v>3</v>
      </c>
      <c r="F5" s="17">
        <f>VLOOKUP(B5,TabProduits[],4,FALSE)</f>
        <v>3.5</v>
      </c>
      <c r="G5" s="75">
        <f t="shared" ref="G5:G53" si="0">E5*F5</f>
        <v>10.5</v>
      </c>
    </row>
    <row r="6" spans="1:7" hidden="1" x14ac:dyDescent="0.25">
      <c r="A6" s="74">
        <v>45579</v>
      </c>
      <c r="B6" s="3" t="s">
        <v>7</v>
      </c>
      <c r="C6" s="6" t="str">
        <f>VLOOKUP(B6,TabProduits[],2,FALSE)</f>
        <v>Lait Écrémé</v>
      </c>
      <c r="D6" s="6" t="str">
        <f>VLOOKUP(B6,TabProduits[],3,FALSE)</f>
        <v>Laiterie</v>
      </c>
      <c r="E6" s="3">
        <v>9</v>
      </c>
      <c r="F6" s="17">
        <f>VLOOKUP(B6,TabProduits[],4,FALSE)</f>
        <v>0.9</v>
      </c>
      <c r="G6" s="75">
        <f t="shared" si="0"/>
        <v>8.1</v>
      </c>
    </row>
    <row r="7" spans="1:7" hidden="1" x14ac:dyDescent="0.25">
      <c r="A7" s="74">
        <v>45579</v>
      </c>
      <c r="B7" s="3" t="s">
        <v>12</v>
      </c>
      <c r="C7" s="6" t="str">
        <f>VLOOKUP(B7,TabProduits[],2,FALSE)</f>
        <v>Beurre Salé</v>
      </c>
      <c r="D7" s="6" t="str">
        <f>VLOOKUP(B7,TabProduits[],3,FALSE)</f>
        <v>Laiterie</v>
      </c>
      <c r="E7" s="3">
        <v>1</v>
      </c>
      <c r="F7" s="17">
        <f>VLOOKUP(B7,TabProduits[],4,FALSE)</f>
        <v>2</v>
      </c>
      <c r="G7" s="75">
        <f t="shared" si="0"/>
        <v>2</v>
      </c>
    </row>
    <row r="8" spans="1:7" hidden="1" x14ac:dyDescent="0.25">
      <c r="A8" s="74">
        <v>45578</v>
      </c>
      <c r="B8" s="3" t="s">
        <v>4</v>
      </c>
      <c r="C8" s="6" t="str">
        <f>VLOOKUP(B8,TabProduits[],2,FALSE)</f>
        <v>Spaghetti</v>
      </c>
      <c r="D8" s="6" t="str">
        <f>VLOOKUP(B8,TabProduits[],3,FALSE)</f>
        <v>Laiterie</v>
      </c>
      <c r="E8" s="3">
        <v>7</v>
      </c>
      <c r="F8" s="17">
        <f>VLOOKUP(B8,TabProduits[],4,FALSE)</f>
        <v>1.5</v>
      </c>
      <c r="G8" s="75">
        <f t="shared" si="0"/>
        <v>10.5</v>
      </c>
    </row>
    <row r="9" spans="1:7" x14ac:dyDescent="0.25">
      <c r="A9" s="74">
        <v>45577</v>
      </c>
      <c r="B9" s="3" t="s">
        <v>15</v>
      </c>
      <c r="C9" s="6" t="str">
        <f>VLOOKUP(B9,TabProduits[],2,FALSE)</f>
        <v>Pommes Vertes</v>
      </c>
      <c r="D9" s="6" t="str">
        <f>VLOOKUP(B9,TabProduits[],3,FALSE)</f>
        <v>Fruits et Légumes</v>
      </c>
      <c r="E9" s="3">
        <v>5</v>
      </c>
      <c r="F9" s="17">
        <f>VLOOKUP(B9,TabProduits[],4,FALSE)</f>
        <v>2.8</v>
      </c>
      <c r="G9" s="75">
        <f t="shared" si="0"/>
        <v>14</v>
      </c>
    </row>
    <row r="10" spans="1:7" hidden="1" x14ac:dyDescent="0.25">
      <c r="A10" s="74">
        <v>45577</v>
      </c>
      <c r="B10" s="3" t="s">
        <v>12</v>
      </c>
      <c r="C10" s="6" t="str">
        <f>VLOOKUP(B10,TabProduits[],2,FALSE)</f>
        <v>Beurre Salé</v>
      </c>
      <c r="D10" s="6" t="str">
        <f>VLOOKUP(B10,TabProduits[],3,FALSE)</f>
        <v>Laiterie</v>
      </c>
      <c r="E10" s="3">
        <v>2</v>
      </c>
      <c r="F10" s="17">
        <f>VLOOKUP(B10,TabProduits[],4,FALSE)</f>
        <v>2</v>
      </c>
      <c r="G10" s="75">
        <f t="shared" si="0"/>
        <v>4</v>
      </c>
    </row>
    <row r="11" spans="1:7" hidden="1" x14ac:dyDescent="0.25">
      <c r="A11" s="74">
        <v>45577</v>
      </c>
      <c r="B11" s="3" t="s">
        <v>14</v>
      </c>
      <c r="C11" s="6" t="str">
        <f>VLOOKUP(B11,TabProduits[],2,FALSE)</f>
        <v>Fromage Gouda</v>
      </c>
      <c r="D11" s="6" t="str">
        <f>VLOOKUP(B11,TabProduits[],3,FALSE)</f>
        <v>Laiterie</v>
      </c>
      <c r="E11" s="3">
        <v>5</v>
      </c>
      <c r="F11" s="17">
        <f>VLOOKUP(B11,TabProduits[],4,FALSE)</f>
        <v>3.5</v>
      </c>
      <c r="G11" s="75">
        <f t="shared" si="0"/>
        <v>17.5</v>
      </c>
    </row>
    <row r="12" spans="1:7" hidden="1" x14ac:dyDescent="0.25">
      <c r="A12" s="74">
        <v>45576</v>
      </c>
      <c r="B12" s="3" t="s">
        <v>12</v>
      </c>
      <c r="C12" s="6" t="str">
        <f>VLOOKUP(B12,TabProduits[],2,FALSE)</f>
        <v>Beurre Salé</v>
      </c>
      <c r="D12" s="6" t="str">
        <f>VLOOKUP(B12,TabProduits[],3,FALSE)</f>
        <v>Laiterie</v>
      </c>
      <c r="E12" s="3">
        <v>8</v>
      </c>
      <c r="F12" s="17">
        <f>VLOOKUP(B12,TabProduits[],4,FALSE)</f>
        <v>2</v>
      </c>
      <c r="G12" s="75">
        <f t="shared" si="0"/>
        <v>16</v>
      </c>
    </row>
    <row r="13" spans="1:7" hidden="1" x14ac:dyDescent="0.25">
      <c r="A13" s="74">
        <v>45576</v>
      </c>
      <c r="B13" s="3" t="s">
        <v>9</v>
      </c>
      <c r="C13" s="6" t="str">
        <f>VLOOKUP(B13,TabProduits[],2,FALSE)</f>
        <v>Pain Complet</v>
      </c>
      <c r="D13" s="6" t="str">
        <f>VLOOKUP(B13,TabProduits[],3,FALSE)</f>
        <v>Boulangerie</v>
      </c>
      <c r="E13" s="3">
        <v>6</v>
      </c>
      <c r="F13" s="17">
        <f>VLOOKUP(B13,TabProduits[],4,FALSE)</f>
        <v>1.2</v>
      </c>
      <c r="G13" s="75">
        <f t="shared" si="0"/>
        <v>7.1999999999999993</v>
      </c>
    </row>
    <row r="14" spans="1:7" hidden="1" x14ac:dyDescent="0.25">
      <c r="A14" s="74">
        <v>45576</v>
      </c>
      <c r="B14" s="3" t="s">
        <v>4</v>
      </c>
      <c r="C14" s="6" t="str">
        <f>VLOOKUP(B14,TabProduits[],2,FALSE)</f>
        <v>Spaghetti</v>
      </c>
      <c r="D14" s="6" t="str">
        <f>VLOOKUP(B14,TabProduits[],3,FALSE)</f>
        <v>Laiterie</v>
      </c>
      <c r="E14" s="3">
        <v>6</v>
      </c>
      <c r="F14" s="17">
        <f>VLOOKUP(B14,TabProduits[],4,FALSE)</f>
        <v>1.5</v>
      </c>
      <c r="G14" s="75">
        <f t="shared" si="0"/>
        <v>9</v>
      </c>
    </row>
    <row r="15" spans="1:7" hidden="1" x14ac:dyDescent="0.25">
      <c r="A15" s="74">
        <v>45575</v>
      </c>
      <c r="B15" s="3" t="s">
        <v>7</v>
      </c>
      <c r="C15" s="6" t="str">
        <f>VLOOKUP(B15,TabProduits[],2,FALSE)</f>
        <v>Lait Écrémé</v>
      </c>
      <c r="D15" s="6" t="str">
        <f>VLOOKUP(B15,TabProduits[],3,FALSE)</f>
        <v>Laiterie</v>
      </c>
      <c r="E15" s="3">
        <v>9</v>
      </c>
      <c r="F15" s="17">
        <f>VLOOKUP(B15,TabProduits[],4,FALSE)</f>
        <v>0.9</v>
      </c>
      <c r="G15" s="75">
        <f t="shared" si="0"/>
        <v>8.1</v>
      </c>
    </row>
    <row r="16" spans="1:7" x14ac:dyDescent="0.25">
      <c r="A16" s="74">
        <v>45575</v>
      </c>
      <c r="B16" s="3" t="s">
        <v>18</v>
      </c>
      <c r="C16" s="6" t="str">
        <f>VLOOKUP(B16,TabProduits[],2,FALSE)</f>
        <v>Jus d'Orange Frais</v>
      </c>
      <c r="D16" s="6" t="str">
        <f>VLOOKUP(B16,TabProduits[],3,FALSE)</f>
        <v>Fruits et Légumes</v>
      </c>
      <c r="E16" s="3">
        <v>8</v>
      </c>
      <c r="F16" s="17">
        <f>VLOOKUP(B16,TabProduits[],4,FALSE)</f>
        <v>2.2999999999999998</v>
      </c>
      <c r="G16" s="75">
        <f t="shared" si="0"/>
        <v>18.399999999999999</v>
      </c>
    </row>
    <row r="17" spans="1:7" hidden="1" x14ac:dyDescent="0.25">
      <c r="A17" s="74">
        <v>45574</v>
      </c>
      <c r="B17" s="3" t="s">
        <v>4</v>
      </c>
      <c r="C17" s="6" t="str">
        <f>VLOOKUP(B17,TabProduits[],2,FALSE)</f>
        <v>Spaghetti</v>
      </c>
      <c r="D17" s="6" t="str">
        <f>VLOOKUP(B17,TabProduits[],3,FALSE)</f>
        <v>Laiterie</v>
      </c>
      <c r="E17" s="3">
        <v>7</v>
      </c>
      <c r="F17" s="17">
        <f>VLOOKUP(B17,TabProduits[],4,FALSE)</f>
        <v>1.5</v>
      </c>
      <c r="G17" s="75">
        <f t="shared" si="0"/>
        <v>10.5</v>
      </c>
    </row>
    <row r="18" spans="1:7" hidden="1" x14ac:dyDescent="0.25">
      <c r="A18" s="74">
        <v>45573</v>
      </c>
      <c r="B18" s="3" t="s">
        <v>12</v>
      </c>
      <c r="C18" s="6" t="str">
        <f>VLOOKUP(B18,TabProduits[],2,FALSE)</f>
        <v>Beurre Salé</v>
      </c>
      <c r="D18" s="6" t="str">
        <f>VLOOKUP(B18,TabProduits[],3,FALSE)</f>
        <v>Laiterie</v>
      </c>
      <c r="E18" s="3">
        <v>3</v>
      </c>
      <c r="F18" s="17">
        <f>VLOOKUP(B18,TabProduits[],4,FALSE)</f>
        <v>2</v>
      </c>
      <c r="G18" s="75">
        <f t="shared" si="0"/>
        <v>6</v>
      </c>
    </row>
    <row r="19" spans="1:7" hidden="1" x14ac:dyDescent="0.25">
      <c r="A19" s="74">
        <v>45572</v>
      </c>
      <c r="B19" s="3" t="s">
        <v>12</v>
      </c>
      <c r="C19" s="6" t="str">
        <f>VLOOKUP(B19,TabProduits[],2,FALSE)</f>
        <v>Beurre Salé</v>
      </c>
      <c r="D19" s="6" t="str">
        <f>VLOOKUP(B19,TabProduits[],3,FALSE)</f>
        <v>Laiterie</v>
      </c>
      <c r="E19" s="3">
        <v>8</v>
      </c>
      <c r="F19" s="17">
        <f>VLOOKUP(B19,TabProduits[],4,FALSE)</f>
        <v>2</v>
      </c>
      <c r="G19" s="75">
        <f t="shared" si="0"/>
        <v>16</v>
      </c>
    </row>
    <row r="20" spans="1:7" hidden="1" x14ac:dyDescent="0.25">
      <c r="A20" s="74">
        <v>45571</v>
      </c>
      <c r="B20" s="3" t="s">
        <v>14</v>
      </c>
      <c r="C20" s="6" t="str">
        <f>VLOOKUP(B20,TabProduits[],2,FALSE)</f>
        <v>Fromage Gouda</v>
      </c>
      <c r="D20" s="6" t="str">
        <f>VLOOKUP(B20,TabProduits[],3,FALSE)</f>
        <v>Laiterie</v>
      </c>
      <c r="E20" s="3">
        <v>4</v>
      </c>
      <c r="F20" s="17">
        <f>VLOOKUP(B20,TabProduits[],4,FALSE)</f>
        <v>3.5</v>
      </c>
      <c r="G20" s="75">
        <f t="shared" si="0"/>
        <v>14</v>
      </c>
    </row>
    <row r="21" spans="1:7" hidden="1" x14ac:dyDescent="0.25">
      <c r="A21" s="74">
        <v>45571</v>
      </c>
      <c r="B21" s="3" t="s">
        <v>14</v>
      </c>
      <c r="C21" s="6" t="str">
        <f>VLOOKUP(B21,TabProduits[],2,FALSE)</f>
        <v>Fromage Gouda</v>
      </c>
      <c r="D21" s="6" t="str">
        <f>VLOOKUP(B21,TabProduits[],3,FALSE)</f>
        <v>Laiterie</v>
      </c>
      <c r="E21" s="3">
        <v>8</v>
      </c>
      <c r="F21" s="17">
        <f>VLOOKUP(B21,TabProduits[],4,FALSE)</f>
        <v>3.5</v>
      </c>
      <c r="G21" s="75">
        <f t="shared" si="0"/>
        <v>28</v>
      </c>
    </row>
    <row r="22" spans="1:7" hidden="1" x14ac:dyDescent="0.25">
      <c r="A22" s="74">
        <v>45570</v>
      </c>
      <c r="B22" s="3" t="s">
        <v>9</v>
      </c>
      <c r="C22" s="6" t="str">
        <f>VLOOKUP(B22,TabProduits[],2,FALSE)</f>
        <v>Pain Complet</v>
      </c>
      <c r="D22" s="6" t="str">
        <f>VLOOKUP(B22,TabProduits[],3,FALSE)</f>
        <v>Boulangerie</v>
      </c>
      <c r="E22" s="3">
        <v>1</v>
      </c>
      <c r="F22" s="17">
        <f>VLOOKUP(B22,TabProduits[],4,FALSE)</f>
        <v>1.2</v>
      </c>
      <c r="G22" s="75">
        <f t="shared" si="0"/>
        <v>1.2</v>
      </c>
    </row>
    <row r="23" spans="1:7" x14ac:dyDescent="0.25">
      <c r="A23" s="74">
        <v>45568</v>
      </c>
      <c r="B23" s="3" t="s">
        <v>18</v>
      </c>
      <c r="C23" s="6" t="str">
        <f>VLOOKUP(B23,TabProduits[],2,FALSE)</f>
        <v>Jus d'Orange Frais</v>
      </c>
      <c r="D23" s="6" t="str">
        <f>VLOOKUP(B23,TabProduits[],3,FALSE)</f>
        <v>Fruits et Légumes</v>
      </c>
      <c r="E23" s="3">
        <v>3</v>
      </c>
      <c r="F23" s="17">
        <f>VLOOKUP(B23,TabProduits[],4,FALSE)</f>
        <v>2.2999999999999998</v>
      </c>
      <c r="G23" s="75">
        <f t="shared" si="0"/>
        <v>6.8999999999999995</v>
      </c>
    </row>
    <row r="24" spans="1:7" x14ac:dyDescent="0.25">
      <c r="A24" s="74">
        <v>45568</v>
      </c>
      <c r="B24" s="3" t="s">
        <v>18</v>
      </c>
      <c r="C24" s="6" t="str">
        <f>VLOOKUP(B24,TabProduits[],2,FALSE)</f>
        <v>Jus d'Orange Frais</v>
      </c>
      <c r="D24" s="6" t="str">
        <f>VLOOKUP(B24,TabProduits[],3,FALSE)</f>
        <v>Fruits et Légumes</v>
      </c>
      <c r="E24" s="3">
        <v>2</v>
      </c>
      <c r="F24" s="17">
        <f>VLOOKUP(B24,TabProduits[],4,FALSE)</f>
        <v>2.2999999999999998</v>
      </c>
      <c r="G24" s="75">
        <f t="shared" si="0"/>
        <v>4.5999999999999996</v>
      </c>
    </row>
    <row r="25" spans="1:7" x14ac:dyDescent="0.25">
      <c r="A25" s="74">
        <v>45567</v>
      </c>
      <c r="B25" s="3" t="s">
        <v>18</v>
      </c>
      <c r="C25" s="6" t="str">
        <f>VLOOKUP(B25,TabProduits[],2,FALSE)</f>
        <v>Jus d'Orange Frais</v>
      </c>
      <c r="D25" s="6" t="str">
        <f>VLOOKUP(B25,TabProduits[],3,FALSE)</f>
        <v>Fruits et Légumes</v>
      </c>
      <c r="E25" s="3">
        <v>5</v>
      </c>
      <c r="F25" s="17">
        <f>VLOOKUP(B25,TabProduits[],4,FALSE)</f>
        <v>2.2999999999999998</v>
      </c>
      <c r="G25" s="75">
        <f t="shared" si="0"/>
        <v>11.5</v>
      </c>
    </row>
    <row r="26" spans="1:7" hidden="1" x14ac:dyDescent="0.25">
      <c r="A26" s="74">
        <v>45566</v>
      </c>
      <c r="B26" s="3" t="s">
        <v>12</v>
      </c>
      <c r="C26" s="6" t="str">
        <f>VLOOKUP(B26,TabProduits[],2,FALSE)</f>
        <v>Beurre Salé</v>
      </c>
      <c r="D26" s="6" t="str">
        <f>VLOOKUP(B26,TabProduits[],3,FALSE)</f>
        <v>Laiterie</v>
      </c>
      <c r="E26" s="3">
        <v>3</v>
      </c>
      <c r="F26" s="17">
        <f>VLOOKUP(B26,TabProduits[],4,FALSE)</f>
        <v>2</v>
      </c>
      <c r="G26" s="75">
        <f t="shared" si="0"/>
        <v>6</v>
      </c>
    </row>
    <row r="27" spans="1:7" x14ac:dyDescent="0.25">
      <c r="A27" s="74">
        <v>45566</v>
      </c>
      <c r="B27" s="3" t="s">
        <v>18</v>
      </c>
      <c r="C27" s="6" t="str">
        <f>VLOOKUP(B27,TabProduits[],2,FALSE)</f>
        <v>Jus d'Orange Frais</v>
      </c>
      <c r="D27" s="6" t="str">
        <f>VLOOKUP(B27,TabProduits[],3,FALSE)</f>
        <v>Fruits et Légumes</v>
      </c>
      <c r="E27" s="3">
        <v>4</v>
      </c>
      <c r="F27" s="17">
        <f>VLOOKUP(B27,TabProduits[],4,FALSE)</f>
        <v>2.2999999999999998</v>
      </c>
      <c r="G27" s="75">
        <f t="shared" si="0"/>
        <v>9.1999999999999993</v>
      </c>
    </row>
    <row r="28" spans="1:7" x14ac:dyDescent="0.25">
      <c r="A28" s="74">
        <v>45565</v>
      </c>
      <c r="B28" s="3" t="s">
        <v>15</v>
      </c>
      <c r="C28" s="6" t="str">
        <f>VLOOKUP(B28,TabProduits[],2,FALSE)</f>
        <v>Pommes Vertes</v>
      </c>
      <c r="D28" s="6" t="str">
        <f>VLOOKUP(B28,TabProduits[],3,FALSE)</f>
        <v>Fruits et Légumes</v>
      </c>
      <c r="E28" s="3">
        <v>8</v>
      </c>
      <c r="F28" s="17">
        <f>VLOOKUP(B28,TabProduits[],4,FALSE)</f>
        <v>2.8</v>
      </c>
      <c r="G28" s="75">
        <f t="shared" si="0"/>
        <v>22.4</v>
      </c>
    </row>
    <row r="29" spans="1:7" x14ac:dyDescent="0.25">
      <c r="A29" s="74">
        <v>45565</v>
      </c>
      <c r="B29" s="3" t="s">
        <v>18</v>
      </c>
      <c r="C29" s="6" t="str">
        <f>VLOOKUP(B29,TabProduits[],2,FALSE)</f>
        <v>Jus d'Orange Frais</v>
      </c>
      <c r="D29" s="6" t="str">
        <f>VLOOKUP(B29,TabProduits[],3,FALSE)</f>
        <v>Fruits et Légumes</v>
      </c>
      <c r="E29" s="3">
        <v>1</v>
      </c>
      <c r="F29" s="17">
        <f>VLOOKUP(B29,TabProduits[],4,FALSE)</f>
        <v>2.2999999999999998</v>
      </c>
      <c r="G29" s="75">
        <f t="shared" si="0"/>
        <v>2.2999999999999998</v>
      </c>
    </row>
    <row r="30" spans="1:7" hidden="1" x14ac:dyDescent="0.25">
      <c r="A30" s="74">
        <v>45565</v>
      </c>
      <c r="B30" s="3" t="s">
        <v>14</v>
      </c>
      <c r="C30" s="6" t="str">
        <f>VLOOKUP(B30,TabProduits[],2,FALSE)</f>
        <v>Fromage Gouda</v>
      </c>
      <c r="D30" s="6" t="str">
        <f>VLOOKUP(B30,TabProduits[],3,FALSE)</f>
        <v>Laiterie</v>
      </c>
      <c r="E30" s="3">
        <v>2</v>
      </c>
      <c r="F30" s="17">
        <f>VLOOKUP(B30,TabProduits[],4,FALSE)</f>
        <v>3.5</v>
      </c>
      <c r="G30" s="75">
        <f t="shared" si="0"/>
        <v>7</v>
      </c>
    </row>
    <row r="31" spans="1:7" hidden="1" x14ac:dyDescent="0.25">
      <c r="A31" s="74">
        <v>45564</v>
      </c>
      <c r="B31" s="3" t="s">
        <v>12</v>
      </c>
      <c r="C31" s="6" t="str">
        <f>VLOOKUP(B31,TabProduits[],2,FALSE)</f>
        <v>Beurre Salé</v>
      </c>
      <c r="D31" s="6" t="str">
        <f>VLOOKUP(B31,TabProduits[],3,FALSE)</f>
        <v>Laiterie</v>
      </c>
      <c r="E31" s="3">
        <v>9</v>
      </c>
      <c r="F31" s="17">
        <f>VLOOKUP(B31,TabProduits[],4,FALSE)</f>
        <v>2</v>
      </c>
      <c r="G31" s="75">
        <f t="shared" si="0"/>
        <v>18</v>
      </c>
    </row>
    <row r="32" spans="1:7" x14ac:dyDescent="0.25">
      <c r="A32" s="74">
        <v>45563</v>
      </c>
      <c r="B32" s="3" t="s">
        <v>18</v>
      </c>
      <c r="C32" s="6" t="str">
        <f>VLOOKUP(B32,TabProduits[],2,FALSE)</f>
        <v>Jus d'Orange Frais</v>
      </c>
      <c r="D32" s="6" t="str">
        <f>VLOOKUP(B32,TabProduits[],3,FALSE)</f>
        <v>Fruits et Légumes</v>
      </c>
      <c r="E32" s="3">
        <v>9</v>
      </c>
      <c r="F32" s="17">
        <f>VLOOKUP(B32,TabProduits[],4,FALSE)</f>
        <v>2.2999999999999998</v>
      </c>
      <c r="G32" s="75">
        <f t="shared" si="0"/>
        <v>20.7</v>
      </c>
    </row>
    <row r="33" spans="1:7" hidden="1" x14ac:dyDescent="0.25">
      <c r="A33" s="74">
        <v>45563</v>
      </c>
      <c r="B33" s="3" t="s">
        <v>14</v>
      </c>
      <c r="C33" s="6" t="str">
        <f>VLOOKUP(B33,TabProduits[],2,FALSE)</f>
        <v>Fromage Gouda</v>
      </c>
      <c r="D33" s="6" t="str">
        <f>VLOOKUP(B33,TabProduits[],3,FALSE)</f>
        <v>Laiterie</v>
      </c>
      <c r="E33" s="3">
        <v>9</v>
      </c>
      <c r="F33" s="17">
        <f>VLOOKUP(B33,TabProduits[],4,FALSE)</f>
        <v>3.5</v>
      </c>
      <c r="G33" s="75">
        <f t="shared" si="0"/>
        <v>31.5</v>
      </c>
    </row>
    <row r="34" spans="1:7" hidden="1" x14ac:dyDescent="0.25">
      <c r="A34" s="74">
        <v>45562</v>
      </c>
      <c r="B34" s="3" t="s">
        <v>4</v>
      </c>
      <c r="C34" s="6" t="str">
        <f>VLOOKUP(B34,TabProduits[],2,FALSE)</f>
        <v>Spaghetti</v>
      </c>
      <c r="D34" s="6" t="str">
        <f>VLOOKUP(B34,TabProduits[],3,FALSE)</f>
        <v>Laiterie</v>
      </c>
      <c r="E34" s="3">
        <v>8</v>
      </c>
      <c r="F34" s="17">
        <f>VLOOKUP(B34,TabProduits[],4,FALSE)</f>
        <v>1.5</v>
      </c>
      <c r="G34" s="75">
        <f t="shared" si="0"/>
        <v>12</v>
      </c>
    </row>
    <row r="35" spans="1:7" x14ac:dyDescent="0.25">
      <c r="A35" s="74">
        <v>45562</v>
      </c>
      <c r="B35" s="3" t="s">
        <v>15</v>
      </c>
      <c r="C35" s="6" t="str">
        <f>VLOOKUP(B35,TabProduits[],2,FALSE)</f>
        <v>Pommes Vertes</v>
      </c>
      <c r="D35" s="6" t="str">
        <f>VLOOKUP(B35,TabProduits[],3,FALSE)</f>
        <v>Fruits et Légumes</v>
      </c>
      <c r="E35" s="3">
        <v>6</v>
      </c>
      <c r="F35" s="17">
        <f>VLOOKUP(B35,TabProduits[],4,FALSE)</f>
        <v>2.8</v>
      </c>
      <c r="G35" s="75">
        <f t="shared" si="0"/>
        <v>16.799999999999997</v>
      </c>
    </row>
    <row r="36" spans="1:7" x14ac:dyDescent="0.25">
      <c r="A36" s="74">
        <v>45562</v>
      </c>
      <c r="B36" s="3" t="s">
        <v>18</v>
      </c>
      <c r="C36" s="6" t="str">
        <f>VLOOKUP(B36,TabProduits[],2,FALSE)</f>
        <v>Jus d'Orange Frais</v>
      </c>
      <c r="D36" s="6" t="str">
        <f>VLOOKUP(B36,TabProduits[],3,FALSE)</f>
        <v>Fruits et Légumes</v>
      </c>
      <c r="E36" s="3">
        <v>4</v>
      </c>
      <c r="F36" s="17">
        <f>VLOOKUP(B36,TabProduits[],4,FALSE)</f>
        <v>2.2999999999999998</v>
      </c>
      <c r="G36" s="75">
        <f t="shared" si="0"/>
        <v>9.1999999999999993</v>
      </c>
    </row>
    <row r="37" spans="1:7" hidden="1" x14ac:dyDescent="0.25">
      <c r="A37" s="74">
        <v>45561</v>
      </c>
      <c r="B37" s="3" t="s">
        <v>14</v>
      </c>
      <c r="C37" s="6" t="str">
        <f>VLOOKUP(B37,TabProduits[],2,FALSE)</f>
        <v>Fromage Gouda</v>
      </c>
      <c r="D37" s="6" t="str">
        <f>VLOOKUP(B37,TabProduits[],3,FALSE)</f>
        <v>Laiterie</v>
      </c>
      <c r="E37" s="3">
        <v>2</v>
      </c>
      <c r="F37" s="17">
        <f>VLOOKUP(B37,TabProduits[],4,FALSE)</f>
        <v>3.5</v>
      </c>
      <c r="G37" s="75">
        <f t="shared" si="0"/>
        <v>7</v>
      </c>
    </row>
    <row r="38" spans="1:7" x14ac:dyDescent="0.25">
      <c r="A38" s="74">
        <v>45560</v>
      </c>
      <c r="B38" s="3" t="s">
        <v>15</v>
      </c>
      <c r="C38" s="6" t="str">
        <f>VLOOKUP(B38,TabProduits[],2,FALSE)</f>
        <v>Pommes Vertes</v>
      </c>
      <c r="D38" s="6" t="str">
        <f>VLOOKUP(B38,TabProduits[],3,FALSE)</f>
        <v>Fruits et Légumes</v>
      </c>
      <c r="E38" s="3">
        <v>9</v>
      </c>
      <c r="F38" s="17">
        <f>VLOOKUP(B38,TabProduits[],4,FALSE)</f>
        <v>2.8</v>
      </c>
      <c r="G38" s="75">
        <f t="shared" si="0"/>
        <v>25.2</v>
      </c>
    </row>
    <row r="39" spans="1:7" hidden="1" x14ac:dyDescent="0.25">
      <c r="A39" s="74">
        <v>45560</v>
      </c>
      <c r="B39" s="3" t="s">
        <v>14</v>
      </c>
      <c r="C39" s="6" t="str">
        <f>VLOOKUP(B39,TabProduits[],2,FALSE)</f>
        <v>Fromage Gouda</v>
      </c>
      <c r="D39" s="6" t="str">
        <f>VLOOKUP(B39,TabProduits[],3,FALSE)</f>
        <v>Laiterie</v>
      </c>
      <c r="E39" s="3">
        <v>6</v>
      </c>
      <c r="F39" s="17">
        <f>VLOOKUP(B39,TabProduits[],4,FALSE)</f>
        <v>3.5</v>
      </c>
      <c r="G39" s="75">
        <f t="shared" si="0"/>
        <v>21</v>
      </c>
    </row>
    <row r="40" spans="1:7" x14ac:dyDescent="0.25">
      <c r="A40" s="74">
        <v>45560</v>
      </c>
      <c r="B40" s="3" t="s">
        <v>18</v>
      </c>
      <c r="C40" s="6" t="str">
        <f>VLOOKUP(B40,TabProduits[],2,FALSE)</f>
        <v>Jus d'Orange Frais</v>
      </c>
      <c r="D40" s="6" t="str">
        <f>VLOOKUP(B40,TabProduits[],3,FALSE)</f>
        <v>Fruits et Légumes</v>
      </c>
      <c r="E40" s="3">
        <v>4</v>
      </c>
      <c r="F40" s="17">
        <f>VLOOKUP(B40,TabProduits[],4,FALSE)</f>
        <v>2.2999999999999998</v>
      </c>
      <c r="G40" s="75">
        <f t="shared" si="0"/>
        <v>9.1999999999999993</v>
      </c>
    </row>
    <row r="41" spans="1:7" hidden="1" x14ac:dyDescent="0.25">
      <c r="A41" s="74">
        <v>45559</v>
      </c>
      <c r="B41" s="3" t="s">
        <v>9</v>
      </c>
      <c r="C41" s="6" t="str">
        <f>VLOOKUP(B41,TabProduits[],2,FALSE)</f>
        <v>Pain Complet</v>
      </c>
      <c r="D41" s="6" t="str">
        <f>VLOOKUP(B41,TabProduits[],3,FALSE)</f>
        <v>Boulangerie</v>
      </c>
      <c r="E41" s="3">
        <v>6</v>
      </c>
      <c r="F41" s="17">
        <f>VLOOKUP(B41,TabProduits[],4,FALSE)</f>
        <v>1.2</v>
      </c>
      <c r="G41" s="75">
        <f t="shared" si="0"/>
        <v>7.1999999999999993</v>
      </c>
    </row>
    <row r="42" spans="1:7" hidden="1" x14ac:dyDescent="0.25">
      <c r="A42" s="74">
        <v>45559</v>
      </c>
      <c r="B42" s="3" t="s">
        <v>12</v>
      </c>
      <c r="C42" s="6" t="str">
        <f>VLOOKUP(B42,TabProduits[],2,FALSE)</f>
        <v>Beurre Salé</v>
      </c>
      <c r="D42" s="6" t="str">
        <f>VLOOKUP(B42,TabProduits[],3,FALSE)</f>
        <v>Laiterie</v>
      </c>
      <c r="E42" s="3">
        <v>2</v>
      </c>
      <c r="F42" s="17">
        <f>VLOOKUP(B42,TabProduits[],4,FALSE)</f>
        <v>2</v>
      </c>
      <c r="G42" s="75">
        <f t="shared" si="0"/>
        <v>4</v>
      </c>
    </row>
    <row r="43" spans="1:7" x14ac:dyDescent="0.25">
      <c r="A43" s="74">
        <v>45558</v>
      </c>
      <c r="B43" s="3" t="s">
        <v>18</v>
      </c>
      <c r="C43" s="6" t="str">
        <f>VLOOKUP(B43,TabProduits[],2,FALSE)</f>
        <v>Jus d'Orange Frais</v>
      </c>
      <c r="D43" s="6" t="str">
        <f>VLOOKUP(B43,TabProduits[],3,FALSE)</f>
        <v>Fruits et Légumes</v>
      </c>
      <c r="E43" s="3">
        <v>6</v>
      </c>
      <c r="F43" s="17">
        <f>VLOOKUP(B43,TabProduits[],4,FALSE)</f>
        <v>2.2999999999999998</v>
      </c>
      <c r="G43" s="75">
        <f t="shared" si="0"/>
        <v>13.799999999999999</v>
      </c>
    </row>
    <row r="44" spans="1:7" hidden="1" x14ac:dyDescent="0.25">
      <c r="A44" s="74">
        <v>45558</v>
      </c>
      <c r="B44" s="3" t="s">
        <v>14</v>
      </c>
      <c r="C44" s="6" t="str">
        <f>VLOOKUP(B44,TabProduits[],2,FALSE)</f>
        <v>Fromage Gouda</v>
      </c>
      <c r="D44" s="6" t="str">
        <f>VLOOKUP(B44,TabProduits[],3,FALSE)</f>
        <v>Laiterie</v>
      </c>
      <c r="E44" s="3">
        <v>3</v>
      </c>
      <c r="F44" s="17">
        <f>VLOOKUP(B44,TabProduits[],4,FALSE)</f>
        <v>3.5</v>
      </c>
      <c r="G44" s="75">
        <f t="shared" si="0"/>
        <v>10.5</v>
      </c>
    </row>
    <row r="45" spans="1:7" x14ac:dyDescent="0.25">
      <c r="A45" s="74">
        <v>45558</v>
      </c>
      <c r="B45" s="3" t="s">
        <v>15</v>
      </c>
      <c r="C45" s="6" t="str">
        <f>VLOOKUP(B45,TabProduits[],2,FALSE)</f>
        <v>Pommes Vertes</v>
      </c>
      <c r="D45" s="6" t="str">
        <f>VLOOKUP(B45,TabProduits[],3,FALSE)</f>
        <v>Fruits et Légumes</v>
      </c>
      <c r="E45" s="3">
        <v>6</v>
      </c>
      <c r="F45" s="17">
        <f>VLOOKUP(B45,TabProduits[],4,FALSE)</f>
        <v>2.8</v>
      </c>
      <c r="G45" s="75">
        <f t="shared" si="0"/>
        <v>16.799999999999997</v>
      </c>
    </row>
    <row r="46" spans="1:7" hidden="1" x14ac:dyDescent="0.25">
      <c r="A46" s="74">
        <v>45555</v>
      </c>
      <c r="B46" s="3" t="s">
        <v>7</v>
      </c>
      <c r="C46" s="6" t="str">
        <f>VLOOKUP(B46,TabProduits[],2,FALSE)</f>
        <v>Lait Écrémé</v>
      </c>
      <c r="D46" s="6" t="str">
        <f>VLOOKUP(B46,TabProduits[],3,FALSE)</f>
        <v>Laiterie</v>
      </c>
      <c r="E46" s="3">
        <v>5</v>
      </c>
      <c r="F46" s="17">
        <f>VLOOKUP(B46,TabProduits[],4,FALSE)</f>
        <v>0.9</v>
      </c>
      <c r="G46" s="75">
        <f t="shared" si="0"/>
        <v>4.5</v>
      </c>
    </row>
    <row r="47" spans="1:7" hidden="1" x14ac:dyDescent="0.25">
      <c r="A47" s="74">
        <v>45555</v>
      </c>
      <c r="B47" s="3" t="s">
        <v>9</v>
      </c>
      <c r="C47" s="6" t="str">
        <f>VLOOKUP(B47,TabProduits[],2,FALSE)</f>
        <v>Pain Complet</v>
      </c>
      <c r="D47" s="6" t="str">
        <f>VLOOKUP(B47,TabProduits[],3,FALSE)</f>
        <v>Boulangerie</v>
      </c>
      <c r="E47" s="3">
        <v>1</v>
      </c>
      <c r="F47" s="17">
        <f>VLOOKUP(B47,TabProduits[],4,FALSE)</f>
        <v>1.2</v>
      </c>
      <c r="G47" s="75">
        <f t="shared" si="0"/>
        <v>1.2</v>
      </c>
    </row>
    <row r="48" spans="1:7" x14ac:dyDescent="0.25">
      <c r="A48" s="74">
        <v>45554</v>
      </c>
      <c r="B48" s="3" t="s">
        <v>15</v>
      </c>
      <c r="C48" s="6" t="str">
        <f>VLOOKUP(B48,TabProduits[],2,FALSE)</f>
        <v>Pommes Vertes</v>
      </c>
      <c r="D48" s="6" t="str">
        <f>VLOOKUP(B48,TabProduits[],3,FALSE)</f>
        <v>Fruits et Légumes</v>
      </c>
      <c r="E48" s="3">
        <v>1</v>
      </c>
      <c r="F48" s="17">
        <f>VLOOKUP(B48,TabProduits[],4,FALSE)</f>
        <v>2.8</v>
      </c>
      <c r="G48" s="75">
        <f t="shared" si="0"/>
        <v>2.8</v>
      </c>
    </row>
    <row r="49" spans="1:7" hidden="1" x14ac:dyDescent="0.25">
      <c r="A49" s="74">
        <v>45554</v>
      </c>
      <c r="B49" s="3" t="s">
        <v>7</v>
      </c>
      <c r="C49" s="6" t="str">
        <f>VLOOKUP(B49,TabProduits[],2,FALSE)</f>
        <v>Lait Écrémé</v>
      </c>
      <c r="D49" s="6" t="str">
        <f>VLOOKUP(B49,TabProduits[],3,FALSE)</f>
        <v>Laiterie</v>
      </c>
      <c r="E49" s="3">
        <v>9</v>
      </c>
      <c r="F49" s="17">
        <f>VLOOKUP(B49,TabProduits[],4,FALSE)</f>
        <v>0.9</v>
      </c>
      <c r="G49" s="75">
        <f t="shared" si="0"/>
        <v>8.1</v>
      </c>
    </row>
    <row r="50" spans="1:7" hidden="1" x14ac:dyDescent="0.25">
      <c r="A50" s="74">
        <v>45554</v>
      </c>
      <c r="B50" s="3" t="s">
        <v>12</v>
      </c>
      <c r="C50" s="6" t="str">
        <f>VLOOKUP(B50,TabProduits[],2,FALSE)</f>
        <v>Beurre Salé</v>
      </c>
      <c r="D50" s="6" t="str">
        <f>VLOOKUP(B50,TabProduits[],3,FALSE)</f>
        <v>Laiterie</v>
      </c>
      <c r="E50" s="3">
        <v>2</v>
      </c>
      <c r="F50" s="17">
        <f>VLOOKUP(B50,TabProduits[],4,FALSE)</f>
        <v>2</v>
      </c>
      <c r="G50" s="75">
        <f t="shared" si="0"/>
        <v>4</v>
      </c>
    </row>
    <row r="51" spans="1:7" x14ac:dyDescent="0.25">
      <c r="A51" s="74">
        <v>45554</v>
      </c>
      <c r="B51" s="3" t="s">
        <v>15</v>
      </c>
      <c r="C51" s="6" t="str">
        <f>VLOOKUP(B51,TabProduits[],2,FALSE)</f>
        <v>Pommes Vertes</v>
      </c>
      <c r="D51" s="6" t="str">
        <f>VLOOKUP(B51,TabProduits[],3,FALSE)</f>
        <v>Fruits et Légumes</v>
      </c>
      <c r="E51" s="3">
        <v>5</v>
      </c>
      <c r="F51" s="17">
        <f>VLOOKUP(B51,TabProduits[],4,FALSE)</f>
        <v>2.8</v>
      </c>
      <c r="G51" s="75">
        <f t="shared" si="0"/>
        <v>14</v>
      </c>
    </row>
    <row r="52" spans="1:7" hidden="1" x14ac:dyDescent="0.25">
      <c r="A52" s="74">
        <v>45553</v>
      </c>
      <c r="B52" s="3" t="s">
        <v>9</v>
      </c>
      <c r="C52" s="6" t="str">
        <f>VLOOKUP(B52,TabProduits[],2,FALSE)</f>
        <v>Pain Complet</v>
      </c>
      <c r="D52" s="6" t="str">
        <f>VLOOKUP(B52,TabProduits[],3,FALSE)</f>
        <v>Boulangerie</v>
      </c>
      <c r="E52" s="3">
        <v>9</v>
      </c>
      <c r="F52" s="17">
        <f>VLOOKUP(B52,TabProduits[],4,FALSE)</f>
        <v>1.2</v>
      </c>
      <c r="G52" s="75">
        <f t="shared" si="0"/>
        <v>10.799999999999999</v>
      </c>
    </row>
    <row r="53" spans="1:7" hidden="1" x14ac:dyDescent="0.25">
      <c r="A53" s="79">
        <v>45553</v>
      </c>
      <c r="B53" s="92" t="s">
        <v>14</v>
      </c>
      <c r="C53" s="93" t="str">
        <f>VLOOKUP(B53,TabProduits[],2,FALSE)</f>
        <v>Fromage Gouda</v>
      </c>
      <c r="D53" s="93" t="str">
        <f>VLOOKUP(B53,TabProduits[],3,FALSE)</f>
        <v>Laiterie</v>
      </c>
      <c r="E53" s="92">
        <v>3</v>
      </c>
      <c r="F53" s="94">
        <f>VLOOKUP(B53,TabProduits[],4,FALSE)</f>
        <v>3.5</v>
      </c>
      <c r="G53" s="85">
        <f t="shared" si="0"/>
        <v>10.5</v>
      </c>
    </row>
    <row r="54" spans="1:7" x14ac:dyDescent="0.25">
      <c r="A54" s="87" t="s">
        <v>227</v>
      </c>
      <c r="B54" s="92"/>
      <c r="C54" s="93"/>
      <c r="D54" s="93"/>
      <c r="E54" s="92"/>
      <c r="F54" s="95"/>
      <c r="G54" s="88">
        <f>SUBTOTAL(109,Tableau1[Prix Total])</f>
        <v>217.8</v>
      </c>
    </row>
  </sheetData>
  <mergeCells count="1">
    <mergeCell ref="A1:G1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AF37-FF19-4CDE-90DD-6D1A15236B25}">
  <dimension ref="A1:I13"/>
  <sheetViews>
    <sheetView zoomScale="120" zoomScaleNormal="120" workbookViewId="0">
      <selection sqref="A1:F1"/>
    </sheetView>
  </sheetViews>
  <sheetFormatPr baseColWidth="10" defaultRowHeight="15" x14ac:dyDescent="0.25"/>
  <cols>
    <col min="1" max="1" width="11.140625" customWidth="1"/>
    <col min="2" max="2" width="17.28515625" customWidth="1"/>
    <col min="3" max="3" width="11" customWidth="1"/>
    <col min="4" max="4" width="12" customWidth="1"/>
    <col min="5" max="5" width="18.140625" customWidth="1"/>
    <col min="6" max="6" width="20" bestFit="1" customWidth="1"/>
    <col min="7" max="7" width="7" customWidth="1"/>
    <col min="8" max="8" width="19.28515625" customWidth="1"/>
    <col min="9" max="9" width="21.5703125" customWidth="1"/>
  </cols>
  <sheetData>
    <row r="1" spans="1:9" ht="19.5" customHeight="1" x14ac:dyDescent="0.25">
      <c r="A1" s="101" t="s">
        <v>80</v>
      </c>
      <c r="B1" s="102"/>
      <c r="C1" s="102"/>
      <c r="D1" s="102"/>
      <c r="E1" s="102"/>
      <c r="F1" s="103"/>
    </row>
    <row r="2" spans="1:9" ht="11.25" customHeight="1" x14ac:dyDescent="0.25"/>
    <row r="3" spans="1:9" ht="16.5" customHeight="1" x14ac:dyDescent="0.25">
      <c r="A3" s="26" t="s">
        <v>45</v>
      </c>
      <c r="B3" s="26" t="s">
        <v>81</v>
      </c>
      <c r="C3" s="26" t="s">
        <v>46</v>
      </c>
      <c r="D3" s="26" t="s">
        <v>47</v>
      </c>
      <c r="E3" s="26" t="s">
        <v>48</v>
      </c>
      <c r="F3" s="26" t="s">
        <v>75</v>
      </c>
      <c r="H3" s="22" t="s">
        <v>46</v>
      </c>
      <c r="I3" s="22" t="s">
        <v>47</v>
      </c>
    </row>
    <row r="4" spans="1:9" x14ac:dyDescent="0.25">
      <c r="A4" s="3" t="s">
        <v>49</v>
      </c>
      <c r="B4" s="1" t="s">
        <v>50</v>
      </c>
      <c r="C4" s="1" t="s">
        <v>51</v>
      </c>
      <c r="D4" s="27" t="str">
        <f>VLOOKUP(C4,$H$4:$I$7,2,FALSE)</f>
        <v>Europe</v>
      </c>
      <c r="E4" s="42">
        <v>10296</v>
      </c>
      <c r="F4" s="28" t="str">
        <f>VLOOKUP(E4,$H$10:$I$13,2,TRUE)</f>
        <v>Pas de promotion</v>
      </c>
      <c r="H4" s="25" t="s">
        <v>61</v>
      </c>
      <c r="I4" s="25" t="s">
        <v>73</v>
      </c>
    </row>
    <row r="5" spans="1:9" x14ac:dyDescent="0.25">
      <c r="A5" s="3" t="s">
        <v>52</v>
      </c>
      <c r="B5" s="1" t="s">
        <v>53</v>
      </c>
      <c r="C5" s="1" t="s">
        <v>54</v>
      </c>
      <c r="D5" s="27" t="str">
        <f t="shared" ref="D5:D13" si="0">VLOOKUP(C5,$H$4:$I$7,2,FALSE)</f>
        <v>Europe</v>
      </c>
      <c r="E5" s="42">
        <v>65707</v>
      </c>
      <c r="F5" s="28" t="str">
        <f t="shared" ref="F5:F13" si="1">VLOOKUP(E5,$H$10:$I$13,2,TRUE)</f>
        <v>Niveau 2</v>
      </c>
      <c r="H5" s="25" t="s">
        <v>72</v>
      </c>
      <c r="I5" s="25" t="s">
        <v>73</v>
      </c>
    </row>
    <row r="6" spans="1:9" x14ac:dyDescent="0.25">
      <c r="A6" s="3" t="s">
        <v>55</v>
      </c>
      <c r="B6" s="1" t="s">
        <v>56</v>
      </c>
      <c r="C6" s="1" t="s">
        <v>51</v>
      </c>
      <c r="D6" s="27" t="str">
        <f t="shared" si="0"/>
        <v>Europe</v>
      </c>
      <c r="E6" s="42">
        <v>38498</v>
      </c>
      <c r="F6" s="28" t="str">
        <f t="shared" si="1"/>
        <v>Niveau 1</v>
      </c>
      <c r="H6" s="25" t="s">
        <v>54</v>
      </c>
      <c r="I6" s="25" t="s">
        <v>74</v>
      </c>
    </row>
    <row r="7" spans="1:9" x14ac:dyDescent="0.25">
      <c r="A7" s="3" t="s">
        <v>57</v>
      </c>
      <c r="B7" s="1" t="s">
        <v>58</v>
      </c>
      <c r="C7" s="1" t="s">
        <v>51</v>
      </c>
      <c r="D7" s="27" t="str">
        <f t="shared" si="0"/>
        <v>Europe</v>
      </c>
      <c r="E7" s="42">
        <v>25000</v>
      </c>
      <c r="F7" s="28" t="str">
        <f t="shared" si="1"/>
        <v>Niveau 1</v>
      </c>
      <c r="H7" s="25" t="s">
        <v>51</v>
      </c>
      <c r="I7" s="25" t="s">
        <v>74</v>
      </c>
    </row>
    <row r="8" spans="1:9" x14ac:dyDescent="0.25">
      <c r="A8" s="3" t="s">
        <v>59</v>
      </c>
      <c r="B8" s="1" t="s">
        <v>60</v>
      </c>
      <c r="C8" s="1" t="s">
        <v>61</v>
      </c>
      <c r="D8" s="27" t="str">
        <f t="shared" si="0"/>
        <v>Afrique</v>
      </c>
      <c r="E8" s="42">
        <v>18512</v>
      </c>
      <c r="F8" s="28" t="str">
        <f t="shared" si="1"/>
        <v>Pas de promotion</v>
      </c>
    </row>
    <row r="9" spans="1:9" ht="16.5" customHeight="1" x14ac:dyDescent="0.25">
      <c r="A9" s="3" t="s">
        <v>62</v>
      </c>
      <c r="B9" s="1" t="s">
        <v>63</v>
      </c>
      <c r="C9" s="1" t="s">
        <v>54</v>
      </c>
      <c r="D9" s="27" t="str">
        <f t="shared" si="0"/>
        <v>Europe</v>
      </c>
      <c r="E9" s="42">
        <v>59924</v>
      </c>
      <c r="F9" s="28" t="str">
        <f t="shared" si="1"/>
        <v>Niveau 2</v>
      </c>
      <c r="H9" s="22" t="s">
        <v>48</v>
      </c>
      <c r="I9" s="22" t="s">
        <v>75</v>
      </c>
    </row>
    <row r="10" spans="1:9" x14ac:dyDescent="0.25">
      <c r="A10" s="3" t="s">
        <v>64</v>
      </c>
      <c r="B10" s="1" t="s">
        <v>65</v>
      </c>
      <c r="C10" s="1" t="s">
        <v>54</v>
      </c>
      <c r="D10" s="27" t="str">
        <f t="shared" si="0"/>
        <v>Europe</v>
      </c>
      <c r="E10" s="42">
        <v>48132</v>
      </c>
      <c r="F10" s="28" t="str">
        <f t="shared" si="1"/>
        <v>Niveau 1</v>
      </c>
      <c r="H10" s="24">
        <v>0</v>
      </c>
      <c r="I10" s="25" t="s">
        <v>76</v>
      </c>
    </row>
    <row r="11" spans="1:9" x14ac:dyDescent="0.25">
      <c r="A11" s="3" t="s">
        <v>66</v>
      </c>
      <c r="B11" s="1" t="s">
        <v>67</v>
      </c>
      <c r="C11" s="1" t="s">
        <v>61</v>
      </c>
      <c r="D11" s="27" t="str">
        <f t="shared" si="0"/>
        <v>Afrique</v>
      </c>
      <c r="E11" s="42">
        <v>12073</v>
      </c>
      <c r="F11" s="28" t="str">
        <f t="shared" si="1"/>
        <v>Pas de promotion</v>
      </c>
      <c r="H11" s="24">
        <v>25000</v>
      </c>
      <c r="I11" s="25" t="s">
        <v>77</v>
      </c>
    </row>
    <row r="12" spans="1:9" x14ac:dyDescent="0.25">
      <c r="A12" s="3" t="s">
        <v>68</v>
      </c>
      <c r="B12" s="1" t="s">
        <v>69</v>
      </c>
      <c r="C12" s="1" t="s">
        <v>51</v>
      </c>
      <c r="D12" s="27" t="str">
        <f t="shared" si="0"/>
        <v>Europe</v>
      </c>
      <c r="E12" s="42">
        <v>85478</v>
      </c>
      <c r="F12" s="28" t="str">
        <f t="shared" si="1"/>
        <v>Niveau 3</v>
      </c>
      <c r="H12" s="24">
        <v>50000</v>
      </c>
      <c r="I12" s="25" t="s">
        <v>78</v>
      </c>
    </row>
    <row r="13" spans="1:9" x14ac:dyDescent="0.25">
      <c r="A13" s="3" t="s">
        <v>70</v>
      </c>
      <c r="B13" s="1" t="s">
        <v>71</v>
      </c>
      <c r="C13" s="1" t="s">
        <v>72</v>
      </c>
      <c r="D13" s="27" t="str">
        <f t="shared" si="0"/>
        <v>Afrique</v>
      </c>
      <c r="E13" s="42">
        <v>75656</v>
      </c>
      <c r="F13" s="28" t="str">
        <f t="shared" si="1"/>
        <v>Niveau 2</v>
      </c>
      <c r="H13" s="24">
        <v>80000</v>
      </c>
      <c r="I13" s="25" t="s">
        <v>79</v>
      </c>
    </row>
  </sheetData>
  <sortState xmlns:xlrd2="http://schemas.microsoft.com/office/spreadsheetml/2017/richdata2" ref="A4:F13">
    <sortCondition ref="A4:A13"/>
  </sortState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AF06-1267-435D-A6DB-37C24CF3D7D7}">
  <dimension ref="A1:F10"/>
  <sheetViews>
    <sheetView zoomScale="150" zoomScaleNormal="150" workbookViewId="0">
      <selection sqref="A1:C1"/>
    </sheetView>
  </sheetViews>
  <sheetFormatPr baseColWidth="10" defaultRowHeight="15" x14ac:dyDescent="0.25"/>
  <cols>
    <col min="1" max="1" width="10.28515625" bestFit="1" customWidth="1"/>
    <col min="2" max="2" width="23.42578125" bestFit="1" customWidth="1"/>
    <col min="3" max="3" width="10" customWidth="1"/>
    <col min="4" max="4" width="6.42578125" customWidth="1"/>
    <col min="5" max="5" width="17.140625" bestFit="1" customWidth="1"/>
    <col min="6" max="6" width="17.7109375" bestFit="1" customWidth="1"/>
  </cols>
  <sheetData>
    <row r="1" spans="1:6" ht="18" customHeight="1" x14ac:dyDescent="0.25">
      <c r="A1" s="104" t="s">
        <v>110</v>
      </c>
      <c r="B1" s="104"/>
      <c r="C1" s="104"/>
    </row>
    <row r="2" spans="1:6" ht="10.5" customHeight="1" x14ac:dyDescent="0.25"/>
    <row r="3" spans="1:6" ht="18.75" customHeight="1" x14ac:dyDescent="0.25">
      <c r="A3" s="16" t="s">
        <v>99</v>
      </c>
      <c r="B3" s="16" t="s">
        <v>100</v>
      </c>
      <c r="C3" s="16" t="s">
        <v>109</v>
      </c>
      <c r="E3" s="105" t="s">
        <v>120</v>
      </c>
      <c r="F3" s="105"/>
    </row>
    <row r="4" spans="1:6" ht="16.5" customHeight="1" x14ac:dyDescent="0.25">
      <c r="A4" s="3" t="s">
        <v>101</v>
      </c>
      <c r="B4" s="1" t="s">
        <v>102</v>
      </c>
      <c r="C4" s="23">
        <v>12</v>
      </c>
      <c r="E4" s="1" t="s">
        <v>112</v>
      </c>
      <c r="F4" s="29" t="s">
        <v>111</v>
      </c>
    </row>
    <row r="5" spans="1:6" ht="16.5" customHeight="1" x14ac:dyDescent="0.25">
      <c r="A5" s="3" t="s">
        <v>103</v>
      </c>
      <c r="B5" s="1" t="s">
        <v>104</v>
      </c>
      <c r="C5" s="23">
        <v>20</v>
      </c>
      <c r="E5" s="35" t="s">
        <v>113</v>
      </c>
      <c r="F5" s="27">
        <f>MATCH(F4,B4:B9,0)</f>
        <v>3</v>
      </c>
    </row>
    <row r="6" spans="1:6" ht="16.5" customHeight="1" x14ac:dyDescent="0.25">
      <c r="A6" s="3" t="s">
        <v>105</v>
      </c>
      <c r="B6" s="1" t="s">
        <v>111</v>
      </c>
      <c r="C6" s="23">
        <v>15</v>
      </c>
    </row>
    <row r="7" spans="1:6" ht="16.5" customHeight="1" x14ac:dyDescent="0.25">
      <c r="A7" s="3" t="s">
        <v>106</v>
      </c>
      <c r="B7" s="1" t="s">
        <v>118</v>
      </c>
      <c r="C7" s="23">
        <v>30</v>
      </c>
      <c r="E7" s="105" t="s">
        <v>121</v>
      </c>
      <c r="F7" s="105"/>
    </row>
    <row r="8" spans="1:6" ht="16.5" customHeight="1" x14ac:dyDescent="0.25">
      <c r="A8" s="3" t="s">
        <v>107</v>
      </c>
      <c r="B8" s="1" t="s">
        <v>108</v>
      </c>
      <c r="C8" s="23">
        <v>18</v>
      </c>
      <c r="E8" s="1" t="s">
        <v>116</v>
      </c>
      <c r="F8" s="3">
        <v>5</v>
      </c>
    </row>
    <row r="9" spans="1:6" ht="16.5" customHeight="1" x14ac:dyDescent="0.25">
      <c r="A9" s="3" t="s">
        <v>115</v>
      </c>
      <c r="B9" s="1" t="s">
        <v>114</v>
      </c>
      <c r="C9" s="23">
        <v>25</v>
      </c>
      <c r="E9" s="1" t="s">
        <v>117</v>
      </c>
      <c r="F9" s="3">
        <v>2</v>
      </c>
    </row>
    <row r="10" spans="1:6" ht="16.5" customHeight="1" x14ac:dyDescent="0.25">
      <c r="E10" s="35" t="s">
        <v>119</v>
      </c>
      <c r="F10" s="27" t="str">
        <f>INDEX(A4:C9,F8,F9)</f>
        <v>La Peste</v>
      </c>
    </row>
  </sheetData>
  <mergeCells count="3">
    <mergeCell ref="A1:C1"/>
    <mergeCell ref="E3:F3"/>
    <mergeCell ref="E7:F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02D4-9192-4ABB-8111-3F1061AFF052}">
  <dimension ref="A1:M13"/>
  <sheetViews>
    <sheetView zoomScale="120" zoomScaleNormal="120" workbookViewId="0">
      <selection sqref="A1:M1"/>
    </sheetView>
  </sheetViews>
  <sheetFormatPr baseColWidth="10" defaultRowHeight="15" x14ac:dyDescent="0.25"/>
  <cols>
    <col min="3" max="3" width="12.85546875" customWidth="1"/>
    <col min="4" max="4" width="12.5703125" bestFit="1" customWidth="1"/>
    <col min="5" max="5" width="11.42578125" customWidth="1"/>
  </cols>
  <sheetData>
    <row r="1" spans="1:13" ht="21.75" customHeight="1" x14ac:dyDescent="0.25">
      <c r="A1" s="106" t="s">
        <v>96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12" customHeight="1" x14ac:dyDescent="0.25"/>
    <row r="3" spans="1:13" ht="18.75" customHeight="1" x14ac:dyDescent="0.25">
      <c r="A3" s="33" t="s">
        <v>82</v>
      </c>
      <c r="B3" s="30" t="s">
        <v>83</v>
      </c>
      <c r="C3" s="30" t="s">
        <v>84</v>
      </c>
      <c r="D3" s="30" t="s">
        <v>85</v>
      </c>
      <c r="E3" s="30" t="s">
        <v>86</v>
      </c>
      <c r="F3" s="30" t="s">
        <v>87</v>
      </c>
      <c r="G3" s="30" t="s">
        <v>88</v>
      </c>
      <c r="H3" s="30" t="s">
        <v>89</v>
      </c>
      <c r="I3" s="30" t="s">
        <v>90</v>
      </c>
      <c r="J3" s="30" t="s">
        <v>91</v>
      </c>
      <c r="K3" s="30" t="s">
        <v>92</v>
      </c>
      <c r="L3" s="30" t="s">
        <v>93</v>
      </c>
      <c r="M3" s="30" t="s">
        <v>94</v>
      </c>
    </row>
    <row r="4" spans="1:13" ht="16.5" customHeight="1" x14ac:dyDescent="0.25">
      <c r="A4" s="31">
        <v>2019</v>
      </c>
      <c r="B4" s="29">
        <v>9.3000000000000007</v>
      </c>
      <c r="C4" s="29">
        <v>15.5</v>
      </c>
      <c r="D4" s="29">
        <v>16.399999999999999</v>
      </c>
      <c r="E4" s="29">
        <v>14.6</v>
      </c>
      <c r="F4" s="29">
        <v>17.5</v>
      </c>
      <c r="G4" s="29">
        <v>21.8</v>
      </c>
      <c r="H4" s="29">
        <v>32.799999999999997</v>
      </c>
      <c r="I4" s="29">
        <v>29.6</v>
      </c>
      <c r="J4" s="29">
        <v>29.3</v>
      </c>
      <c r="K4" s="29">
        <v>14.1</v>
      </c>
      <c r="L4" s="29">
        <v>11.8</v>
      </c>
      <c r="M4" s="29">
        <v>5.3</v>
      </c>
    </row>
    <row r="5" spans="1:13" ht="16.5" customHeight="1" x14ac:dyDescent="0.25">
      <c r="A5" s="31">
        <v>2020</v>
      </c>
      <c r="B5" s="29">
        <v>13</v>
      </c>
      <c r="C5" s="29">
        <v>5</v>
      </c>
      <c r="D5" s="29">
        <v>8</v>
      </c>
      <c r="E5" s="29">
        <v>16.600000000000001</v>
      </c>
      <c r="F5" s="29">
        <v>16.899999999999999</v>
      </c>
      <c r="G5" s="29">
        <v>28.5</v>
      </c>
      <c r="H5" s="29">
        <v>32.5</v>
      </c>
      <c r="I5" s="29">
        <v>22.4</v>
      </c>
      <c r="J5" s="29">
        <v>20.100000000000001</v>
      </c>
      <c r="K5" s="29">
        <v>18</v>
      </c>
      <c r="L5" s="29">
        <v>13.4</v>
      </c>
      <c r="M5" s="29">
        <v>8.6999999999999993</v>
      </c>
    </row>
    <row r="6" spans="1:13" ht="16.5" customHeight="1" x14ac:dyDescent="0.25">
      <c r="A6" s="31">
        <v>2021</v>
      </c>
      <c r="B6" s="29">
        <v>7</v>
      </c>
      <c r="C6" s="29">
        <v>14.4</v>
      </c>
      <c r="D6" s="29">
        <v>16.5</v>
      </c>
      <c r="E6" s="29">
        <v>17</v>
      </c>
      <c r="F6" s="29">
        <v>23.9</v>
      </c>
      <c r="G6" s="29">
        <v>19.8</v>
      </c>
      <c r="H6" s="29">
        <v>33.5</v>
      </c>
      <c r="I6" s="29">
        <v>30.8</v>
      </c>
      <c r="J6" s="29">
        <v>22</v>
      </c>
      <c r="K6" s="29">
        <v>20.5</v>
      </c>
      <c r="L6" s="29">
        <v>12</v>
      </c>
      <c r="M6" s="29">
        <v>14.9</v>
      </c>
    </row>
    <row r="7" spans="1:13" ht="16.5" customHeight="1" x14ac:dyDescent="0.25">
      <c r="A7" s="31">
        <v>2022</v>
      </c>
      <c r="B7" s="29">
        <v>6.1</v>
      </c>
      <c r="C7" s="29">
        <v>10.4</v>
      </c>
      <c r="D7" s="29">
        <v>13.8</v>
      </c>
      <c r="E7" s="29">
        <v>15.1</v>
      </c>
      <c r="F7" s="29">
        <v>16.7</v>
      </c>
      <c r="G7" s="29">
        <v>23</v>
      </c>
      <c r="H7" s="29">
        <v>30</v>
      </c>
      <c r="I7" s="29">
        <v>31.1</v>
      </c>
      <c r="J7" s="29">
        <v>27.1</v>
      </c>
      <c r="K7" s="29">
        <v>17.399999999999999</v>
      </c>
      <c r="L7" s="29">
        <v>14.6</v>
      </c>
      <c r="M7" s="29">
        <v>10.9</v>
      </c>
    </row>
    <row r="8" spans="1:13" ht="16.5" customHeight="1" x14ac:dyDescent="0.25">
      <c r="A8" s="31">
        <v>2023</v>
      </c>
      <c r="B8" s="29">
        <v>8.6999999999999993</v>
      </c>
      <c r="C8" s="29">
        <v>11</v>
      </c>
      <c r="D8" s="29">
        <v>11.9</v>
      </c>
      <c r="E8" s="29">
        <v>17</v>
      </c>
      <c r="F8" s="29">
        <v>19.3</v>
      </c>
      <c r="G8" s="29">
        <v>27.3</v>
      </c>
      <c r="H8" s="29">
        <v>34.299999999999997</v>
      </c>
      <c r="I8" s="29">
        <v>25.9</v>
      </c>
      <c r="J8" s="29">
        <v>22.2</v>
      </c>
      <c r="K8" s="29">
        <v>16</v>
      </c>
      <c r="L8" s="29">
        <v>9.6</v>
      </c>
      <c r="M8" s="29">
        <v>11.6</v>
      </c>
    </row>
    <row r="10" spans="1:13" ht="19.5" customHeight="1" x14ac:dyDescent="0.25">
      <c r="C10" s="107" t="s">
        <v>98</v>
      </c>
      <c r="D10" s="108"/>
    </row>
    <row r="11" spans="1:13" ht="18.75" customHeight="1" x14ac:dyDescent="0.25">
      <c r="C11" s="34" t="s">
        <v>82</v>
      </c>
      <c r="D11" s="29">
        <v>2022</v>
      </c>
    </row>
    <row r="12" spans="1:13" ht="18.75" customHeight="1" x14ac:dyDescent="0.25">
      <c r="C12" s="34" t="s">
        <v>95</v>
      </c>
      <c r="D12" s="29" t="s">
        <v>89</v>
      </c>
    </row>
    <row r="13" spans="1:13" ht="21" customHeight="1" x14ac:dyDescent="0.25">
      <c r="C13" s="34" t="s">
        <v>97</v>
      </c>
      <c r="D13" s="32">
        <f>VLOOKUP(D11,A4:M8,MATCH(D12,A3:M3,0),FALSE)</f>
        <v>30</v>
      </c>
    </row>
  </sheetData>
  <mergeCells count="2">
    <mergeCell ref="A1:M1"/>
    <mergeCell ref="C10:D10"/>
  </mergeCells>
  <dataValidations count="2">
    <dataValidation type="list" allowBlank="1" showInputMessage="1" showErrorMessage="1" sqref="D11" xr:uid="{B4E8127C-3908-4E1C-ABFF-900718145B17}">
      <formula1>$A$4:$A$8</formula1>
    </dataValidation>
    <dataValidation type="list" allowBlank="1" showInputMessage="1" showErrorMessage="1" sqref="D12" xr:uid="{04AE4773-4353-487B-9012-8900FAD7B9D6}">
      <formula1>$B$3:$M$3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D28C-8A07-4DA6-A760-23F1F876F0DC}">
  <dimension ref="A1:G9"/>
  <sheetViews>
    <sheetView zoomScale="150" zoomScaleNormal="150" workbookViewId="0">
      <selection sqref="A1:D1"/>
    </sheetView>
  </sheetViews>
  <sheetFormatPr baseColWidth="10" defaultRowHeight="15" x14ac:dyDescent="0.25"/>
  <cols>
    <col min="3" max="3" width="15.140625" bestFit="1" customWidth="1"/>
    <col min="4" max="4" width="14.7109375" customWidth="1"/>
    <col min="5" max="5" width="10.140625" customWidth="1"/>
    <col min="7" max="7" width="17.7109375" customWidth="1"/>
  </cols>
  <sheetData>
    <row r="1" spans="1:7" ht="18" customHeight="1" x14ac:dyDescent="0.25">
      <c r="A1" s="111" t="s">
        <v>143</v>
      </c>
      <c r="B1" s="111"/>
      <c r="C1" s="111"/>
      <c r="D1" s="111"/>
    </row>
    <row r="2" spans="1:7" ht="11.25" customHeight="1" x14ac:dyDescent="0.25"/>
    <row r="3" spans="1:7" ht="19.5" customHeight="1" x14ac:dyDescent="0.25">
      <c r="A3" s="38" t="s">
        <v>2</v>
      </c>
      <c r="B3" s="39" t="s">
        <v>3</v>
      </c>
      <c r="C3" s="39" t="s">
        <v>122</v>
      </c>
      <c r="D3" s="39" t="s">
        <v>141</v>
      </c>
      <c r="F3" s="109" t="s">
        <v>142</v>
      </c>
      <c r="G3" s="110"/>
    </row>
    <row r="4" spans="1:7" ht="18" customHeight="1" x14ac:dyDescent="0.25">
      <c r="A4" s="40" t="s">
        <v>123</v>
      </c>
      <c r="B4" s="36" t="s">
        <v>124</v>
      </c>
      <c r="C4" s="36" t="s">
        <v>125</v>
      </c>
      <c r="D4" s="41">
        <v>18000</v>
      </c>
      <c r="F4" s="37" t="s">
        <v>122</v>
      </c>
      <c r="G4" s="29" t="s">
        <v>128</v>
      </c>
    </row>
    <row r="5" spans="1:7" ht="17.25" customHeight="1" x14ac:dyDescent="0.25">
      <c r="A5" s="40" t="s">
        <v>126</v>
      </c>
      <c r="B5" s="36" t="s">
        <v>127</v>
      </c>
      <c r="C5" s="36" t="s">
        <v>128</v>
      </c>
      <c r="D5" s="41">
        <v>15500</v>
      </c>
      <c r="F5" s="37" t="s">
        <v>3</v>
      </c>
      <c r="G5" s="32" t="str">
        <f>INDEX(TabPostes[],MATCH(G4,TabPostes[Poste],0),2)</f>
        <v>Latifa</v>
      </c>
    </row>
    <row r="6" spans="1:7" ht="17.25" customHeight="1" x14ac:dyDescent="0.25">
      <c r="A6" s="40" t="s">
        <v>129</v>
      </c>
      <c r="B6" s="36" t="s">
        <v>130</v>
      </c>
      <c r="C6" s="36" t="s">
        <v>131</v>
      </c>
      <c r="D6" s="41">
        <v>12000</v>
      </c>
      <c r="F6" s="37" t="s">
        <v>2</v>
      </c>
      <c r="G6" s="32" t="str">
        <f>INDEX(TabPostes[],MATCH(G4,TabPostes[Poste],0),1)</f>
        <v>F002</v>
      </c>
    </row>
    <row r="7" spans="1:7" ht="17.25" customHeight="1" x14ac:dyDescent="0.25">
      <c r="A7" s="40" t="s">
        <v>132</v>
      </c>
      <c r="B7" s="36" t="s">
        <v>133</v>
      </c>
      <c r="C7" s="36" t="s">
        <v>134</v>
      </c>
      <c r="D7" s="41">
        <v>9000</v>
      </c>
    </row>
    <row r="8" spans="1:7" ht="17.25" customHeight="1" x14ac:dyDescent="0.25">
      <c r="A8" s="40" t="s">
        <v>135</v>
      </c>
      <c r="B8" s="36" t="s">
        <v>136</v>
      </c>
      <c r="C8" s="36" t="s">
        <v>137</v>
      </c>
      <c r="D8" s="41">
        <v>10500</v>
      </c>
    </row>
    <row r="9" spans="1:7" ht="17.25" customHeight="1" x14ac:dyDescent="0.25">
      <c r="A9" s="40" t="s">
        <v>138</v>
      </c>
      <c r="B9" s="36" t="s">
        <v>139</v>
      </c>
      <c r="C9" s="36" t="s">
        <v>140</v>
      </c>
      <c r="D9" s="41">
        <v>14000</v>
      </c>
    </row>
  </sheetData>
  <mergeCells count="2">
    <mergeCell ref="F3:G3"/>
    <mergeCell ref="A1:D1"/>
  </mergeCells>
  <dataValidations count="1">
    <dataValidation type="list" allowBlank="1" showInputMessage="1" showErrorMessage="1" sqref="G4" xr:uid="{0DE90868-5C0F-4DFA-872E-24ACB610172F}">
      <formula1>$C$4:$C$9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EEBB-0866-4962-A64A-AEE3D90477ED}">
  <dimension ref="A1:F11"/>
  <sheetViews>
    <sheetView zoomScale="140" zoomScaleNormal="140" workbookViewId="0">
      <selection sqref="A1:C1"/>
    </sheetView>
  </sheetViews>
  <sheetFormatPr baseColWidth="10" defaultRowHeight="15" x14ac:dyDescent="0.25"/>
  <cols>
    <col min="1" max="1" width="20.42578125" bestFit="1" customWidth="1"/>
    <col min="2" max="2" width="18.140625" bestFit="1" customWidth="1"/>
    <col min="3" max="3" width="13.5703125" customWidth="1"/>
    <col min="5" max="5" width="15" customWidth="1"/>
    <col min="6" max="6" width="21.28515625" bestFit="1" customWidth="1"/>
  </cols>
  <sheetData>
    <row r="1" spans="1:6" ht="21.75" customHeight="1" x14ac:dyDescent="0.25">
      <c r="A1" s="112" t="s">
        <v>161</v>
      </c>
      <c r="B1" s="112"/>
      <c r="C1" s="112"/>
    </row>
    <row r="2" spans="1:6" ht="9" customHeight="1" x14ac:dyDescent="0.25"/>
    <row r="3" spans="1:6" ht="19.5" customHeight="1" x14ac:dyDescent="0.25">
      <c r="A3" s="48" t="s">
        <v>158</v>
      </c>
      <c r="B3" s="49" t="s">
        <v>144</v>
      </c>
      <c r="C3" s="49" t="s">
        <v>145</v>
      </c>
      <c r="E3" s="113" t="s">
        <v>162</v>
      </c>
      <c r="F3" s="114"/>
    </row>
    <row r="4" spans="1:6" x14ac:dyDescent="0.25">
      <c r="A4" s="44" t="s">
        <v>146</v>
      </c>
      <c r="B4" s="43" t="s">
        <v>147</v>
      </c>
      <c r="C4" s="46">
        <v>190</v>
      </c>
      <c r="E4" s="52" t="s">
        <v>158</v>
      </c>
      <c r="F4" s="1" t="s">
        <v>160</v>
      </c>
    </row>
    <row r="5" spans="1:6" x14ac:dyDescent="0.25">
      <c r="A5" s="45" t="s">
        <v>148</v>
      </c>
      <c r="B5" s="36" t="s">
        <v>149</v>
      </c>
      <c r="C5" s="47">
        <v>300</v>
      </c>
      <c r="E5" s="52" t="s">
        <v>144</v>
      </c>
      <c r="F5" s="27" t="str">
        <f>IFERROR(VLOOKUP(F4,TabAnimaux[],2,FALSE),"Animal pas dans le zoo")</f>
        <v>Animal pas dans le zoo</v>
      </c>
    </row>
    <row r="6" spans="1:6" x14ac:dyDescent="0.25">
      <c r="A6" s="44" t="s">
        <v>150</v>
      </c>
      <c r="B6" s="43" t="s">
        <v>151</v>
      </c>
      <c r="C6" s="46">
        <v>600</v>
      </c>
      <c r="E6" s="52" t="s">
        <v>159</v>
      </c>
      <c r="F6" s="51" t="str">
        <f>IFERROR(VLOOKUP(F4,TabAnimaux[],3,FALSE),"")</f>
        <v/>
      </c>
    </row>
    <row r="7" spans="1:6" x14ac:dyDescent="0.25">
      <c r="A7" s="45" t="s">
        <v>152</v>
      </c>
      <c r="B7" s="36" t="s">
        <v>149</v>
      </c>
      <c r="C7" s="47">
        <v>6</v>
      </c>
      <c r="F7" s="50"/>
    </row>
    <row r="8" spans="1:6" x14ac:dyDescent="0.25">
      <c r="A8" s="44" t="s">
        <v>153</v>
      </c>
      <c r="B8" s="43" t="s">
        <v>154</v>
      </c>
      <c r="C8" s="46">
        <v>5</v>
      </c>
    </row>
    <row r="9" spans="1:6" x14ac:dyDescent="0.25">
      <c r="A9" s="45" t="s">
        <v>155</v>
      </c>
      <c r="B9" s="36" t="s">
        <v>154</v>
      </c>
      <c r="C9" s="47">
        <v>35</v>
      </c>
    </row>
    <row r="10" spans="1:6" x14ac:dyDescent="0.25">
      <c r="A10" s="44" t="s">
        <v>156</v>
      </c>
      <c r="B10" s="43" t="s">
        <v>149</v>
      </c>
      <c r="C10" s="46">
        <v>45</v>
      </c>
    </row>
    <row r="11" spans="1:6" x14ac:dyDescent="0.25">
      <c r="A11" s="45" t="s">
        <v>157</v>
      </c>
      <c r="B11" s="36" t="s">
        <v>147</v>
      </c>
      <c r="C11" s="47">
        <v>50</v>
      </c>
    </row>
  </sheetData>
  <mergeCells count="2">
    <mergeCell ref="A1:C1"/>
    <mergeCell ref="E3:F3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8CCA-742D-4336-9B18-1BAA3F5F9E7A}">
  <dimension ref="A1:G11"/>
  <sheetViews>
    <sheetView zoomScale="160" zoomScaleNormal="160" workbookViewId="0">
      <selection sqref="A1:G1"/>
    </sheetView>
  </sheetViews>
  <sheetFormatPr baseColWidth="10" defaultColWidth="15.140625" defaultRowHeight="15" x14ac:dyDescent="0.25"/>
  <cols>
    <col min="3" max="3" width="15.28515625" customWidth="1"/>
  </cols>
  <sheetData>
    <row r="1" spans="1:7" ht="20.25" customHeight="1" x14ac:dyDescent="0.25">
      <c r="A1" s="115" t="s">
        <v>26</v>
      </c>
      <c r="B1" s="115"/>
      <c r="C1" s="115"/>
      <c r="D1" s="115"/>
      <c r="E1" s="115"/>
      <c r="F1" s="115"/>
      <c r="G1" s="115"/>
    </row>
    <row r="2" spans="1:7" ht="13.5" customHeight="1" x14ac:dyDescent="0.25"/>
    <row r="3" spans="1:7" x14ac:dyDescent="0.25">
      <c r="A3" s="57" t="s">
        <v>195</v>
      </c>
      <c r="B3" s="1" t="s">
        <v>196</v>
      </c>
      <c r="C3" s="1" t="s">
        <v>197</v>
      </c>
      <c r="D3" s="1" t="s">
        <v>198</v>
      </c>
      <c r="E3" s="1" t="s">
        <v>199</v>
      </c>
      <c r="F3" s="1" t="s">
        <v>200</v>
      </c>
      <c r="G3" s="1" t="s">
        <v>201</v>
      </c>
    </row>
    <row r="4" spans="1:7" x14ac:dyDescent="0.25">
      <c r="A4" s="57" t="s">
        <v>28</v>
      </c>
      <c r="B4" s="1" t="s">
        <v>202</v>
      </c>
      <c r="C4" s="1" t="s">
        <v>203</v>
      </c>
      <c r="D4" s="1" t="s">
        <v>202</v>
      </c>
      <c r="E4" s="1" t="s">
        <v>203</v>
      </c>
      <c r="F4" s="1" t="s">
        <v>204</v>
      </c>
      <c r="G4" s="1" t="s">
        <v>203</v>
      </c>
    </row>
    <row r="5" spans="1:7" x14ac:dyDescent="0.25">
      <c r="A5" s="57" t="s">
        <v>20</v>
      </c>
      <c r="B5" s="56">
        <v>4500</v>
      </c>
      <c r="C5" s="56">
        <v>3000</v>
      </c>
      <c r="D5" s="56">
        <v>2000</v>
      </c>
      <c r="E5" s="56">
        <v>3500</v>
      </c>
      <c r="F5" s="56">
        <v>500</v>
      </c>
      <c r="G5" s="56">
        <v>1200</v>
      </c>
    </row>
    <row r="8" spans="1:7" ht="18.75" customHeight="1" x14ac:dyDescent="0.25">
      <c r="B8" s="96" t="s">
        <v>205</v>
      </c>
      <c r="C8" s="97"/>
    </row>
    <row r="9" spans="1:7" ht="15.75" customHeight="1" x14ac:dyDescent="0.25">
      <c r="B9" s="58" t="s">
        <v>206</v>
      </c>
      <c r="C9" s="1" t="s">
        <v>200</v>
      </c>
    </row>
    <row r="10" spans="1:7" ht="15.75" customHeight="1" x14ac:dyDescent="0.25">
      <c r="B10" s="58" t="s">
        <v>28</v>
      </c>
      <c r="C10" s="27" t="str">
        <f>HLOOKUP(C9,B3:G5,2,FALSE)</f>
        <v>Mobilier</v>
      </c>
    </row>
    <row r="11" spans="1:7" ht="15.75" customHeight="1" x14ac:dyDescent="0.25">
      <c r="B11" s="58" t="s">
        <v>20</v>
      </c>
      <c r="C11" s="59">
        <f>HLOOKUP(C9,B3:G5,3,FALSE)</f>
        <v>500</v>
      </c>
    </row>
  </sheetData>
  <mergeCells count="2">
    <mergeCell ref="B8:C8"/>
    <mergeCell ref="A1:G1"/>
  </mergeCells>
  <dataValidations count="1">
    <dataValidation type="list" allowBlank="1" showInputMessage="1" showErrorMessage="1" sqref="C9" xr:uid="{25942696-CFCB-413E-AC8F-D12E1FC3E462}">
      <formula1>$B$3:$G$3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4891-938B-48E6-A0D4-0EA797AD2E11}">
  <dimension ref="B1:H12"/>
  <sheetViews>
    <sheetView zoomScale="118" zoomScaleNormal="118" workbookViewId="0">
      <selection activeCell="B1" sqref="B1:H1"/>
    </sheetView>
  </sheetViews>
  <sheetFormatPr baseColWidth="10" defaultRowHeight="15" x14ac:dyDescent="0.25"/>
  <cols>
    <col min="1" max="1" width="5.85546875" customWidth="1"/>
    <col min="2" max="2" width="27.42578125" bestFit="1" customWidth="1"/>
    <col min="3" max="3" width="23.5703125" customWidth="1"/>
    <col min="4" max="4" width="17.140625" customWidth="1"/>
    <col min="5" max="5" width="16" customWidth="1"/>
    <col min="6" max="6" width="18.42578125" customWidth="1"/>
    <col min="7" max="7" width="17.5703125" customWidth="1"/>
    <col min="8" max="8" width="15.7109375" customWidth="1"/>
  </cols>
  <sheetData>
    <row r="1" spans="2:8" ht="22.5" customHeight="1" x14ac:dyDescent="0.25">
      <c r="B1" s="116" t="s">
        <v>182</v>
      </c>
      <c r="C1" s="116"/>
      <c r="D1" s="116"/>
      <c r="E1" s="116"/>
      <c r="F1" s="116"/>
      <c r="G1" s="116"/>
      <c r="H1" s="116"/>
    </row>
    <row r="2" spans="2:8" ht="12" customHeight="1" x14ac:dyDescent="0.25"/>
    <row r="3" spans="2:8" ht="17.25" customHeight="1" x14ac:dyDescent="0.25">
      <c r="B3" s="16" t="s">
        <v>172</v>
      </c>
      <c r="C3" s="16" t="s">
        <v>183</v>
      </c>
      <c r="D3" s="16" t="s">
        <v>166</v>
      </c>
      <c r="E3" s="16" t="s">
        <v>171</v>
      </c>
      <c r="F3" s="16" t="s">
        <v>173</v>
      </c>
      <c r="G3" s="16" t="s">
        <v>170</v>
      </c>
      <c r="H3" s="16" t="s">
        <v>174</v>
      </c>
    </row>
    <row r="4" spans="2:8" ht="17.25" customHeight="1" x14ac:dyDescent="0.25">
      <c r="B4" s="53" t="s">
        <v>177</v>
      </c>
      <c r="C4" s="54" t="s">
        <v>178</v>
      </c>
      <c r="D4" s="32">
        <v>1998</v>
      </c>
      <c r="E4" s="60">
        <v>12</v>
      </c>
      <c r="F4" s="54" t="s">
        <v>179</v>
      </c>
      <c r="G4" s="54" t="s">
        <v>180</v>
      </c>
      <c r="H4" s="54" t="s">
        <v>181</v>
      </c>
    </row>
    <row r="5" spans="2:8" ht="16.5" customHeight="1" x14ac:dyDescent="0.25">
      <c r="B5" s="53" t="s">
        <v>175</v>
      </c>
      <c r="C5" s="54" t="str">
        <f>TRIM(B5)</f>
        <v>ahmed el IDRISSI - 1985</v>
      </c>
      <c r="D5" s="32" t="str">
        <f>RIGHT(C5,4)</f>
        <v>1985</v>
      </c>
      <c r="E5" s="60">
        <f>FIND("-",C5)</f>
        <v>18</v>
      </c>
      <c r="F5" s="54" t="str">
        <f>LEFT(C5,E5-2)</f>
        <v>ahmed el IDRISSI</v>
      </c>
      <c r="G5" s="54" t="str">
        <f>PROPER(F5)</f>
        <v>Ahmed El Idrissi</v>
      </c>
      <c r="H5" s="54" t="str">
        <f>CONCATENATE(LEFT(G5,3),RIGHT(G5,3),D5)</f>
        <v>Ahmssi1985</v>
      </c>
    </row>
    <row r="6" spans="2:8" ht="16.5" customHeight="1" x14ac:dyDescent="0.25">
      <c r="B6" s="53" t="s">
        <v>163</v>
      </c>
      <c r="C6" s="54" t="str">
        <f t="shared" ref="C6:C12" si="0">TRIM(B6)</f>
        <v>FATIMA BEN ALI - 1990</v>
      </c>
      <c r="D6" s="32" t="str">
        <f t="shared" ref="D6:D12" si="1">RIGHT(C6,4)</f>
        <v>1990</v>
      </c>
      <c r="E6" s="60">
        <f t="shared" ref="E6:E12" si="2">FIND("-",C6)</f>
        <v>16</v>
      </c>
      <c r="F6" s="54" t="str">
        <f t="shared" ref="F6:F12" si="3">LEFT(C6,E6-2)</f>
        <v>FATIMA BEN ALI</v>
      </c>
      <c r="G6" s="54" t="str">
        <f t="shared" ref="G6:G12" si="4">PROPER(F6)</f>
        <v>Fatima Ben Ali</v>
      </c>
      <c r="H6" s="54" t="str">
        <f t="shared" ref="H6:H12" si="5">CONCATENATE(LEFT(G6,3),RIGHT(G6,3),D6)</f>
        <v>FatAli1990</v>
      </c>
    </row>
    <row r="7" spans="2:8" ht="16.5" customHeight="1" x14ac:dyDescent="0.25">
      <c r="B7" s="53" t="s">
        <v>164</v>
      </c>
      <c r="C7" s="54" t="str">
        <f t="shared" si="0"/>
        <v>YOUSSEF el amrani - 1987</v>
      </c>
      <c r="D7" s="32" t="str">
        <f t="shared" si="1"/>
        <v>1987</v>
      </c>
      <c r="E7" s="60">
        <f t="shared" si="2"/>
        <v>19</v>
      </c>
      <c r="F7" s="54" t="str">
        <f t="shared" si="3"/>
        <v>YOUSSEF el amrani</v>
      </c>
      <c r="G7" s="54" t="str">
        <f t="shared" si="4"/>
        <v>Youssef El Amrani</v>
      </c>
      <c r="H7" s="54" t="str">
        <f t="shared" si="5"/>
        <v>Youani1987</v>
      </c>
    </row>
    <row r="8" spans="2:8" ht="16.5" customHeight="1" x14ac:dyDescent="0.25">
      <c r="B8" s="53" t="s">
        <v>168</v>
      </c>
      <c r="C8" s="54" t="str">
        <f t="shared" si="0"/>
        <v>MOHAMED ALAMI - 1983</v>
      </c>
      <c r="D8" s="32" t="str">
        <f t="shared" si="1"/>
        <v>1983</v>
      </c>
      <c r="E8" s="60">
        <f t="shared" si="2"/>
        <v>15</v>
      </c>
      <c r="F8" s="54" t="str">
        <f t="shared" si="3"/>
        <v>MOHAMED ALAMI</v>
      </c>
      <c r="G8" s="54" t="str">
        <f t="shared" si="4"/>
        <v>Mohamed Alami</v>
      </c>
      <c r="H8" s="54" t="str">
        <f t="shared" si="5"/>
        <v>Mohami1983</v>
      </c>
    </row>
    <row r="9" spans="2:8" ht="16.5" customHeight="1" x14ac:dyDescent="0.25">
      <c r="B9" s="53" t="s">
        <v>167</v>
      </c>
      <c r="C9" s="54" t="str">
        <f t="shared" si="0"/>
        <v>sara berrada - 1995</v>
      </c>
      <c r="D9" s="32" t="str">
        <f t="shared" si="1"/>
        <v>1995</v>
      </c>
      <c r="E9" s="60">
        <f t="shared" si="2"/>
        <v>14</v>
      </c>
      <c r="F9" s="54" t="str">
        <f t="shared" si="3"/>
        <v>sara berrada</v>
      </c>
      <c r="G9" s="54" t="str">
        <f t="shared" si="4"/>
        <v>Sara Berrada</v>
      </c>
      <c r="H9" s="54" t="str">
        <f t="shared" si="5"/>
        <v>Sarada1995</v>
      </c>
    </row>
    <row r="10" spans="2:8" ht="16.5" customHeight="1" x14ac:dyDescent="0.25">
      <c r="B10" s="53" t="s">
        <v>165</v>
      </c>
      <c r="C10" s="54" t="str">
        <f t="shared" si="0"/>
        <v>HASSAN EL FASSI - 1988</v>
      </c>
      <c r="D10" s="32" t="str">
        <f t="shared" si="1"/>
        <v>1988</v>
      </c>
      <c r="E10" s="60">
        <f t="shared" si="2"/>
        <v>17</v>
      </c>
      <c r="F10" s="54" t="str">
        <f t="shared" si="3"/>
        <v>HASSAN EL FASSI</v>
      </c>
      <c r="G10" s="54" t="str">
        <f t="shared" si="4"/>
        <v>Hassan El Fassi</v>
      </c>
      <c r="H10" s="54" t="str">
        <f t="shared" si="5"/>
        <v>Hasssi1988</v>
      </c>
    </row>
    <row r="11" spans="2:8" ht="16.5" customHeight="1" x14ac:dyDescent="0.25">
      <c r="B11" s="53" t="s">
        <v>169</v>
      </c>
      <c r="C11" s="54" t="str">
        <f t="shared" si="0"/>
        <v>SAMIRA JOUTI - 1986</v>
      </c>
      <c r="D11" s="32" t="str">
        <f t="shared" si="1"/>
        <v>1986</v>
      </c>
      <c r="E11" s="60">
        <f t="shared" si="2"/>
        <v>14</v>
      </c>
      <c r="F11" s="54" t="str">
        <f t="shared" si="3"/>
        <v>SAMIRA JOUTI</v>
      </c>
      <c r="G11" s="54" t="str">
        <f t="shared" si="4"/>
        <v>Samira Jouti</v>
      </c>
      <c r="H11" s="54" t="str">
        <f t="shared" si="5"/>
        <v>Samuti1986</v>
      </c>
    </row>
    <row r="12" spans="2:8" ht="16.5" customHeight="1" x14ac:dyDescent="0.25">
      <c r="B12" s="53" t="s">
        <v>176</v>
      </c>
      <c r="C12" s="54" t="str">
        <f t="shared" si="0"/>
        <v>KHALID bouziane - 1984</v>
      </c>
      <c r="D12" s="32" t="str">
        <f t="shared" si="1"/>
        <v>1984</v>
      </c>
      <c r="E12" s="60">
        <f t="shared" si="2"/>
        <v>17</v>
      </c>
      <c r="F12" s="54" t="str">
        <f t="shared" si="3"/>
        <v>KHALID bouziane</v>
      </c>
      <c r="G12" s="54" t="str">
        <f t="shared" si="4"/>
        <v>Khalid Bouziane</v>
      </c>
      <c r="H12" s="54" t="str">
        <f t="shared" si="5"/>
        <v>Khaane1984</v>
      </c>
    </row>
  </sheetData>
  <mergeCells count="1">
    <mergeCell ref="B1:H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8BF-2E47-40E4-814C-463AEED2EDE2}">
  <dimension ref="A1:F10"/>
  <sheetViews>
    <sheetView zoomScale="140" zoomScaleNormal="140" workbookViewId="0">
      <selection sqref="A1:F1"/>
    </sheetView>
  </sheetViews>
  <sheetFormatPr baseColWidth="10" defaultRowHeight="15" x14ac:dyDescent="0.25"/>
  <cols>
    <col min="1" max="1" width="10" bestFit="1" customWidth="1"/>
    <col min="2" max="2" width="16.42578125" customWidth="1"/>
    <col min="3" max="3" width="13.85546875" customWidth="1"/>
    <col min="6" max="6" width="28.85546875" customWidth="1"/>
  </cols>
  <sheetData>
    <row r="1" spans="1:6" ht="21" customHeight="1" x14ac:dyDescent="0.25">
      <c r="A1" s="117" t="s">
        <v>191</v>
      </c>
      <c r="B1" s="117"/>
      <c r="C1" s="117"/>
      <c r="D1" s="117"/>
      <c r="E1" s="117"/>
      <c r="F1" s="117"/>
    </row>
    <row r="2" spans="1:6" ht="10.5" customHeight="1" x14ac:dyDescent="0.25"/>
    <row r="3" spans="1:6" ht="19.5" customHeight="1" x14ac:dyDescent="0.25">
      <c r="A3" s="16" t="s">
        <v>3</v>
      </c>
      <c r="B3" s="16" t="s">
        <v>194</v>
      </c>
      <c r="C3" s="16" t="s">
        <v>188</v>
      </c>
      <c r="D3" s="16" t="s">
        <v>95</v>
      </c>
      <c r="E3" s="16" t="s">
        <v>189</v>
      </c>
      <c r="F3" s="16" t="s">
        <v>190</v>
      </c>
    </row>
    <row r="4" spans="1:6" ht="15.75" customHeight="1" x14ac:dyDescent="0.25">
      <c r="A4" s="1" t="s">
        <v>193</v>
      </c>
      <c r="B4" s="55">
        <v>36634</v>
      </c>
      <c r="C4" s="5">
        <v>24</v>
      </c>
      <c r="D4" s="5">
        <v>6</v>
      </c>
      <c r="E4" s="5">
        <v>2</v>
      </c>
      <c r="F4" s="27" t="s">
        <v>192</v>
      </c>
    </row>
    <row r="5" spans="1:6" ht="15.75" customHeight="1" x14ac:dyDescent="0.25">
      <c r="A5" s="1" t="s">
        <v>130</v>
      </c>
      <c r="B5" s="55">
        <v>33110</v>
      </c>
      <c r="C5" s="5">
        <f ca="1">DATEDIF(B5,TODAY(),"Y")</f>
        <v>34</v>
      </c>
      <c r="D5" s="5">
        <f ca="1">DATEDIF(B5,TODAY(),"YM")</f>
        <v>2</v>
      </c>
      <c r="E5" s="5">
        <f ca="1">DATEDIF(B5,TODAY(),"MD")</f>
        <v>23</v>
      </c>
      <c r="F5" s="27" t="str">
        <f ca="1">CONCATENATE(C5," années, ",D5," mois et ",E5," jours")</f>
        <v>34 années, 2 mois et 23 jours</v>
      </c>
    </row>
    <row r="6" spans="1:6" ht="15.75" customHeight="1" x14ac:dyDescent="0.25">
      <c r="A6" s="1" t="s">
        <v>184</v>
      </c>
      <c r="B6" s="55">
        <v>31822</v>
      </c>
      <c r="C6" s="5">
        <f t="shared" ref="C6:C10" ca="1" si="0">DATEDIF(B6,TODAY(),"y")</f>
        <v>37</v>
      </c>
      <c r="D6" s="5">
        <f t="shared" ref="D6:D10" ca="1" si="1">DATEDIF(B6,TODAY(),"YM")</f>
        <v>9</v>
      </c>
      <c r="E6" s="5">
        <f t="shared" ref="E6:E10" ca="1" si="2">DATEDIF(B6,TODAY(),"MD")</f>
        <v>3</v>
      </c>
      <c r="F6" s="27" t="str">
        <f t="shared" ref="F6:F10" ca="1" si="3">CONCATENATE(C6," années, ",D6," mois et ",E6," jours")</f>
        <v>37 années, 9 mois et 3 jours</v>
      </c>
    </row>
    <row r="7" spans="1:6" ht="15.75" customHeight="1" x14ac:dyDescent="0.25">
      <c r="A7" s="1" t="s">
        <v>139</v>
      </c>
      <c r="B7" s="55">
        <v>38663</v>
      </c>
      <c r="C7" s="5">
        <f t="shared" ca="1" si="0"/>
        <v>19</v>
      </c>
      <c r="D7" s="5">
        <f t="shared" ca="1" si="1"/>
        <v>0</v>
      </c>
      <c r="E7" s="5">
        <f t="shared" ca="1" si="2"/>
        <v>10</v>
      </c>
      <c r="F7" s="27" t="str">
        <f t="shared" ca="1" si="3"/>
        <v>19 années, 0 mois et 10 jours</v>
      </c>
    </row>
    <row r="8" spans="1:6" ht="15.75" customHeight="1" x14ac:dyDescent="0.25">
      <c r="A8" s="1" t="s">
        <v>185</v>
      </c>
      <c r="B8" s="55">
        <v>30497</v>
      </c>
      <c r="C8" s="5">
        <f t="shared" ca="1" si="0"/>
        <v>41</v>
      </c>
      <c r="D8" s="5">
        <f t="shared" ca="1" si="1"/>
        <v>4</v>
      </c>
      <c r="E8" s="5">
        <f t="shared" ca="1" si="2"/>
        <v>18</v>
      </c>
      <c r="F8" s="27" t="str">
        <f t="shared" ca="1" si="3"/>
        <v>41 années, 4 mois et 18 jours</v>
      </c>
    </row>
    <row r="9" spans="1:6" ht="15.75" customHeight="1" x14ac:dyDescent="0.25">
      <c r="A9" s="1" t="s">
        <v>186</v>
      </c>
      <c r="B9" s="55">
        <v>34957</v>
      </c>
      <c r="C9" s="5">
        <f t="shared" ca="1" si="0"/>
        <v>29</v>
      </c>
      <c r="D9" s="5">
        <f t="shared" ca="1" si="1"/>
        <v>2</v>
      </c>
      <c r="E9" s="5">
        <f t="shared" ca="1" si="2"/>
        <v>2</v>
      </c>
      <c r="F9" s="27" t="str">
        <f t="shared" ca="1" si="3"/>
        <v>29 années, 2 mois et 2 jours</v>
      </c>
    </row>
    <row r="10" spans="1:6" ht="15.75" customHeight="1" x14ac:dyDescent="0.25">
      <c r="A10" s="1" t="s">
        <v>187</v>
      </c>
      <c r="B10" s="55">
        <v>27415</v>
      </c>
      <c r="C10" s="5">
        <f t="shared" ca="1" si="0"/>
        <v>49</v>
      </c>
      <c r="D10" s="5">
        <f t="shared" ca="1" si="1"/>
        <v>9</v>
      </c>
      <c r="E10" s="5">
        <f t="shared" ca="1" si="2"/>
        <v>27</v>
      </c>
      <c r="F10" s="27" t="str">
        <f t="shared" ca="1" si="3"/>
        <v>49 années, 9 mois et 27 jours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4155-9E5C-4F97-B2D0-87B4BE484BE9}">
  <sheetPr>
    <tabColor theme="5" tint="0.39997558519241921"/>
  </sheetPr>
  <dimension ref="A1:F13"/>
  <sheetViews>
    <sheetView zoomScale="140" zoomScaleNormal="140" workbookViewId="0">
      <selection sqref="A1:C1"/>
    </sheetView>
  </sheetViews>
  <sheetFormatPr baseColWidth="10" defaultRowHeight="15" x14ac:dyDescent="0.25"/>
  <cols>
    <col min="1" max="1" width="30.140625" bestFit="1" customWidth="1"/>
    <col min="2" max="2" width="19.5703125" customWidth="1"/>
    <col min="3" max="3" width="21.140625" bestFit="1" customWidth="1"/>
    <col min="4" max="4" width="5.5703125" customWidth="1"/>
    <col min="5" max="5" width="24.7109375" customWidth="1"/>
    <col min="6" max="6" width="25.42578125" customWidth="1"/>
  </cols>
  <sheetData>
    <row r="1" spans="1:6" ht="18.75" x14ac:dyDescent="0.25">
      <c r="A1" s="118" t="s">
        <v>207</v>
      </c>
      <c r="B1" s="118"/>
      <c r="C1" s="118"/>
      <c r="E1" s="119" t="s">
        <v>208</v>
      </c>
      <c r="F1" s="119"/>
    </row>
    <row r="2" spans="1:6" ht="9.75" customHeight="1" x14ac:dyDescent="0.25"/>
    <row r="3" spans="1:6" ht="18.75" customHeight="1" x14ac:dyDescent="0.25">
      <c r="A3" s="61" t="s">
        <v>206</v>
      </c>
      <c r="B3" s="62" t="s">
        <v>209</v>
      </c>
      <c r="C3" s="63" t="s">
        <v>210</v>
      </c>
      <c r="E3" s="11" t="s">
        <v>209</v>
      </c>
      <c r="F3" s="13" t="s">
        <v>211</v>
      </c>
    </row>
    <row r="4" spans="1:6" x14ac:dyDescent="0.25">
      <c r="A4" s="64" t="s">
        <v>212</v>
      </c>
      <c r="B4" s="1" t="s">
        <v>203</v>
      </c>
      <c r="C4" s="65">
        <v>4500</v>
      </c>
      <c r="E4" s="64" t="s">
        <v>203</v>
      </c>
      <c r="F4" s="66">
        <v>7</v>
      </c>
    </row>
    <row r="5" spans="1:6" x14ac:dyDescent="0.25">
      <c r="A5" s="64" t="s">
        <v>213</v>
      </c>
      <c r="B5" s="1" t="s">
        <v>203</v>
      </c>
      <c r="C5" s="65">
        <v>3200</v>
      </c>
      <c r="E5" s="64" t="s">
        <v>214</v>
      </c>
      <c r="F5" s="66">
        <v>3</v>
      </c>
    </row>
    <row r="6" spans="1:6" x14ac:dyDescent="0.25">
      <c r="A6" s="64" t="s">
        <v>215</v>
      </c>
      <c r="B6" s="1" t="s">
        <v>203</v>
      </c>
      <c r="C6" s="65">
        <v>1200</v>
      </c>
      <c r="E6" s="67" t="s">
        <v>216</v>
      </c>
      <c r="F6" s="68">
        <v>5</v>
      </c>
    </row>
    <row r="7" spans="1:6" x14ac:dyDescent="0.25">
      <c r="A7" s="64" t="s">
        <v>217</v>
      </c>
      <c r="B7" s="1" t="s">
        <v>203</v>
      </c>
      <c r="C7" s="65">
        <v>600</v>
      </c>
    </row>
    <row r="8" spans="1:6" x14ac:dyDescent="0.25">
      <c r="A8" s="64" t="s">
        <v>218</v>
      </c>
      <c r="B8" s="1" t="s">
        <v>214</v>
      </c>
      <c r="C8" s="65">
        <v>120</v>
      </c>
    </row>
    <row r="9" spans="1:6" x14ac:dyDescent="0.25">
      <c r="A9" s="64" t="s">
        <v>219</v>
      </c>
      <c r="B9" s="1" t="s">
        <v>214</v>
      </c>
      <c r="C9" s="65">
        <v>150</v>
      </c>
    </row>
    <row r="10" spans="1:6" x14ac:dyDescent="0.25">
      <c r="A10" s="64" t="s">
        <v>220</v>
      </c>
      <c r="B10" s="1" t="s">
        <v>214</v>
      </c>
      <c r="C10" s="65">
        <v>100</v>
      </c>
    </row>
    <row r="11" spans="1:6" x14ac:dyDescent="0.25">
      <c r="A11" s="64" t="s">
        <v>221</v>
      </c>
      <c r="B11" s="1" t="s">
        <v>216</v>
      </c>
      <c r="C11" s="65">
        <v>350</v>
      </c>
    </row>
    <row r="12" spans="1:6" x14ac:dyDescent="0.25">
      <c r="A12" s="64" t="s">
        <v>222</v>
      </c>
      <c r="B12" s="1" t="s">
        <v>216</v>
      </c>
      <c r="C12" s="65">
        <v>80</v>
      </c>
    </row>
    <row r="13" spans="1:6" x14ac:dyDescent="0.25">
      <c r="A13" s="67" t="s">
        <v>223</v>
      </c>
      <c r="B13" s="10" t="s">
        <v>216</v>
      </c>
      <c r="C13" s="41">
        <v>250</v>
      </c>
    </row>
  </sheetData>
  <mergeCells count="2">
    <mergeCell ref="A1:C1"/>
    <mergeCell ref="E1:F1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6B1B-CAE0-46C2-95D9-49711DB3092F}">
  <dimension ref="A1:I102"/>
  <sheetViews>
    <sheetView zoomScaleNormal="100" workbookViewId="0">
      <selection sqref="A1:I1"/>
    </sheetView>
  </sheetViews>
  <sheetFormatPr baseColWidth="10" defaultRowHeight="15" x14ac:dyDescent="0.25"/>
  <cols>
    <col min="1" max="1" width="19.140625" customWidth="1"/>
    <col min="2" max="2" width="19.28515625" customWidth="1"/>
    <col min="3" max="3" width="29.7109375" bestFit="1" customWidth="1"/>
    <col min="4" max="4" width="11.42578125" customWidth="1"/>
    <col min="5" max="5" width="18" customWidth="1"/>
    <col min="6" max="6" width="17.140625" customWidth="1"/>
    <col min="7" max="7" width="20.140625" customWidth="1"/>
    <col min="8" max="8" width="14.85546875" customWidth="1"/>
    <col min="9" max="9" width="14.28515625" customWidth="1"/>
  </cols>
  <sheetData>
    <row r="1" spans="1:9" ht="36" customHeight="1" x14ac:dyDescent="0.25">
      <c r="A1" s="120" t="s">
        <v>228</v>
      </c>
      <c r="B1" s="120"/>
      <c r="C1" s="120"/>
      <c r="D1" s="120"/>
      <c r="E1" s="120"/>
      <c r="F1" s="120"/>
      <c r="G1" s="120"/>
      <c r="H1" s="120"/>
      <c r="I1" s="120"/>
    </row>
    <row r="2" spans="1:9" ht="18" customHeight="1" x14ac:dyDescent="0.25"/>
    <row r="3" spans="1:9" ht="21.75" customHeight="1" x14ac:dyDescent="0.25">
      <c r="A3" s="76" t="s">
        <v>224</v>
      </c>
      <c r="B3" s="77" t="s">
        <v>230</v>
      </c>
      <c r="C3" s="77" t="s">
        <v>225</v>
      </c>
      <c r="D3" s="77" t="s">
        <v>21</v>
      </c>
      <c r="E3" s="77" t="s">
        <v>229</v>
      </c>
      <c r="F3" s="77" t="s">
        <v>211</v>
      </c>
      <c r="G3" s="77" t="s">
        <v>226</v>
      </c>
      <c r="H3" s="77" t="s">
        <v>20</v>
      </c>
      <c r="I3" s="78" t="s">
        <v>227</v>
      </c>
    </row>
    <row r="4" spans="1:9" x14ac:dyDescent="0.25">
      <c r="A4" s="74">
        <v>45504</v>
      </c>
      <c r="B4" s="72">
        <f>MONTH(A4)</f>
        <v>7</v>
      </c>
      <c r="C4" s="1" t="s">
        <v>218</v>
      </c>
      <c r="D4" s="69">
        <v>3</v>
      </c>
      <c r="E4" s="73" t="str">
        <f>VLOOKUP(C4,TabProdLivraison[],2,FALSE)</f>
        <v>Livres</v>
      </c>
      <c r="F4" s="73">
        <f>VLOOKUP(E4,TabDuréeLivraison[],2,FALSE)</f>
        <v>3</v>
      </c>
      <c r="G4" s="70">
        <f>WORKDAY(A4,F4)</f>
        <v>45509</v>
      </c>
      <c r="H4" s="71">
        <f>VLOOKUP(C4,TabProdLivraison[],3,FALSE)</f>
        <v>120</v>
      </c>
      <c r="I4" s="75">
        <f>D4*H4</f>
        <v>360</v>
      </c>
    </row>
    <row r="5" spans="1:9" hidden="1" x14ac:dyDescent="0.25">
      <c r="A5" s="74">
        <v>45508</v>
      </c>
      <c r="B5" s="72">
        <f t="shared" ref="B5:B68" si="0">MONTH(A5)</f>
        <v>8</v>
      </c>
      <c r="C5" s="1" t="s">
        <v>221</v>
      </c>
      <c r="D5" s="69">
        <v>2</v>
      </c>
      <c r="E5" s="73" t="str">
        <f>VLOOKUP(C5,TabProdLivraison[],2,FALSE)</f>
        <v>Soin &amp; Beauté</v>
      </c>
      <c r="F5" s="73">
        <f>VLOOKUP(E5,TabDuréeLivraison[],2,FALSE)</f>
        <v>5</v>
      </c>
      <c r="G5" s="70">
        <f t="shared" ref="G5:G68" si="1">WORKDAY(A5,F5)</f>
        <v>45513</v>
      </c>
      <c r="H5" s="71">
        <f>VLOOKUP(C5,TabProdLivraison[],3,FALSE)</f>
        <v>350</v>
      </c>
      <c r="I5" s="75">
        <f t="shared" ref="I5:I68" si="2">D5*H5</f>
        <v>700</v>
      </c>
    </row>
    <row r="6" spans="1:9" hidden="1" x14ac:dyDescent="0.25">
      <c r="A6" s="74">
        <v>45556</v>
      </c>
      <c r="B6" s="72">
        <f t="shared" si="0"/>
        <v>9</v>
      </c>
      <c r="C6" s="1" t="s">
        <v>215</v>
      </c>
      <c r="D6" s="69">
        <v>2</v>
      </c>
      <c r="E6" s="73" t="str">
        <f>VLOOKUP(C6,TabProdLivraison[],2,FALSE)</f>
        <v>Électroménager</v>
      </c>
      <c r="F6" s="73">
        <f>VLOOKUP(E6,TabDuréeLivraison[],2,FALSE)</f>
        <v>7</v>
      </c>
      <c r="G6" s="70">
        <f t="shared" si="1"/>
        <v>45566</v>
      </c>
      <c r="H6" s="71">
        <f>VLOOKUP(C6,TabProdLivraison[],3,FALSE)</f>
        <v>1200</v>
      </c>
      <c r="I6" s="75">
        <f t="shared" si="2"/>
        <v>2400</v>
      </c>
    </row>
    <row r="7" spans="1:9" hidden="1" x14ac:dyDescent="0.25">
      <c r="A7" s="74">
        <v>45445</v>
      </c>
      <c r="B7" s="72">
        <f t="shared" si="0"/>
        <v>6</v>
      </c>
      <c r="C7" s="1" t="s">
        <v>222</v>
      </c>
      <c r="D7" s="69">
        <v>4</v>
      </c>
      <c r="E7" s="73" t="str">
        <f>VLOOKUP(C7,TabProdLivraison[],2,FALSE)</f>
        <v>Soin &amp; Beauté</v>
      </c>
      <c r="F7" s="73">
        <f>VLOOKUP(E7,TabDuréeLivraison[],2,FALSE)</f>
        <v>5</v>
      </c>
      <c r="G7" s="70">
        <f t="shared" si="1"/>
        <v>45450</v>
      </c>
      <c r="H7" s="71">
        <f>VLOOKUP(C7,TabProdLivraison[],3,FALSE)</f>
        <v>80</v>
      </c>
      <c r="I7" s="75">
        <f t="shared" si="2"/>
        <v>320</v>
      </c>
    </row>
    <row r="8" spans="1:9" hidden="1" x14ac:dyDescent="0.25">
      <c r="A8" s="74">
        <v>45458</v>
      </c>
      <c r="B8" s="72">
        <f t="shared" si="0"/>
        <v>6</v>
      </c>
      <c r="C8" s="1" t="s">
        <v>221</v>
      </c>
      <c r="D8" s="69">
        <v>1</v>
      </c>
      <c r="E8" s="73" t="str">
        <f>VLOOKUP(C8,TabProdLivraison[],2,FALSE)</f>
        <v>Soin &amp; Beauté</v>
      </c>
      <c r="F8" s="73">
        <f>VLOOKUP(E8,TabDuréeLivraison[],2,FALSE)</f>
        <v>5</v>
      </c>
      <c r="G8" s="70">
        <f t="shared" si="1"/>
        <v>45464</v>
      </c>
      <c r="H8" s="71">
        <f>VLOOKUP(C8,TabProdLivraison[],3,FALSE)</f>
        <v>350</v>
      </c>
      <c r="I8" s="75">
        <f t="shared" si="2"/>
        <v>350</v>
      </c>
    </row>
    <row r="9" spans="1:9" hidden="1" x14ac:dyDescent="0.25">
      <c r="A9" s="74">
        <v>45536</v>
      </c>
      <c r="B9" s="72">
        <f t="shared" si="0"/>
        <v>9</v>
      </c>
      <c r="C9" s="1" t="s">
        <v>217</v>
      </c>
      <c r="D9" s="69">
        <v>3</v>
      </c>
      <c r="E9" s="73" t="str">
        <f>VLOOKUP(C9,TabProdLivraison[],2,FALSE)</f>
        <v>Électroménager</v>
      </c>
      <c r="F9" s="73">
        <f>VLOOKUP(E9,TabDuréeLivraison[],2,FALSE)</f>
        <v>7</v>
      </c>
      <c r="G9" s="70">
        <f t="shared" si="1"/>
        <v>45545</v>
      </c>
      <c r="H9" s="71">
        <f>VLOOKUP(C9,TabProdLivraison[],3,FALSE)</f>
        <v>600</v>
      </c>
      <c r="I9" s="75">
        <f t="shared" si="2"/>
        <v>1800</v>
      </c>
    </row>
    <row r="10" spans="1:9" x14ac:dyDescent="0.25">
      <c r="A10" s="74">
        <v>45483</v>
      </c>
      <c r="B10" s="72">
        <f t="shared" si="0"/>
        <v>7</v>
      </c>
      <c r="C10" s="1" t="s">
        <v>220</v>
      </c>
      <c r="D10" s="69">
        <v>2</v>
      </c>
      <c r="E10" s="73" t="str">
        <f>VLOOKUP(C10,TabProdLivraison[],2,FALSE)</f>
        <v>Livres</v>
      </c>
      <c r="F10" s="73">
        <f>VLOOKUP(E10,TabDuréeLivraison[],2,FALSE)</f>
        <v>3</v>
      </c>
      <c r="G10" s="70">
        <f t="shared" si="1"/>
        <v>45488</v>
      </c>
      <c r="H10" s="71">
        <f>VLOOKUP(C10,TabProdLivraison[],3,FALSE)</f>
        <v>100</v>
      </c>
      <c r="I10" s="75">
        <f t="shared" si="2"/>
        <v>200</v>
      </c>
    </row>
    <row r="11" spans="1:9" hidden="1" x14ac:dyDescent="0.25">
      <c r="A11" s="74">
        <v>45540</v>
      </c>
      <c r="B11" s="72">
        <f t="shared" si="0"/>
        <v>9</v>
      </c>
      <c r="C11" s="1" t="s">
        <v>219</v>
      </c>
      <c r="D11" s="69">
        <v>1</v>
      </c>
      <c r="E11" s="73" t="str">
        <f>VLOOKUP(C11,TabProdLivraison[],2,FALSE)</f>
        <v>Livres</v>
      </c>
      <c r="F11" s="73">
        <f>VLOOKUP(E11,TabDuréeLivraison[],2,FALSE)</f>
        <v>3</v>
      </c>
      <c r="G11" s="70">
        <f t="shared" si="1"/>
        <v>45545</v>
      </c>
      <c r="H11" s="71">
        <f>VLOOKUP(C11,TabProdLivraison[],3,FALSE)</f>
        <v>150</v>
      </c>
      <c r="I11" s="75">
        <f t="shared" si="2"/>
        <v>150</v>
      </c>
    </row>
    <row r="12" spans="1:9" hidden="1" x14ac:dyDescent="0.25">
      <c r="A12" s="74">
        <v>45529</v>
      </c>
      <c r="B12" s="72">
        <f t="shared" si="0"/>
        <v>8</v>
      </c>
      <c r="C12" s="1" t="s">
        <v>223</v>
      </c>
      <c r="D12" s="69">
        <v>3</v>
      </c>
      <c r="E12" s="73" t="str">
        <f>VLOOKUP(C12,TabProdLivraison[],2,FALSE)</f>
        <v>Soin &amp; Beauté</v>
      </c>
      <c r="F12" s="73">
        <f>VLOOKUP(E12,TabDuréeLivraison[],2,FALSE)</f>
        <v>5</v>
      </c>
      <c r="G12" s="70">
        <f t="shared" si="1"/>
        <v>45534</v>
      </c>
      <c r="H12" s="71">
        <f>VLOOKUP(C12,TabProdLivraison[],3,FALSE)</f>
        <v>250</v>
      </c>
      <c r="I12" s="75">
        <f t="shared" si="2"/>
        <v>750</v>
      </c>
    </row>
    <row r="13" spans="1:9" x14ac:dyDescent="0.25">
      <c r="A13" s="74">
        <v>45493</v>
      </c>
      <c r="B13" s="72">
        <f t="shared" si="0"/>
        <v>7</v>
      </c>
      <c r="C13" s="1" t="s">
        <v>212</v>
      </c>
      <c r="D13" s="69">
        <v>2</v>
      </c>
      <c r="E13" s="73" t="str">
        <f>VLOOKUP(C13,TabProdLivraison[],2,FALSE)</f>
        <v>Électroménager</v>
      </c>
      <c r="F13" s="73">
        <f>VLOOKUP(E13,TabDuréeLivraison[],2,FALSE)</f>
        <v>7</v>
      </c>
      <c r="G13" s="70">
        <f t="shared" si="1"/>
        <v>45503</v>
      </c>
      <c r="H13" s="71">
        <f>VLOOKUP(C13,TabProdLivraison[],3,FALSE)</f>
        <v>4500</v>
      </c>
      <c r="I13" s="75">
        <f t="shared" si="2"/>
        <v>9000</v>
      </c>
    </row>
    <row r="14" spans="1:9" hidden="1" x14ac:dyDescent="0.25">
      <c r="A14" s="74">
        <v>45449</v>
      </c>
      <c r="B14" s="72">
        <f t="shared" si="0"/>
        <v>6</v>
      </c>
      <c r="C14" s="1" t="s">
        <v>215</v>
      </c>
      <c r="D14" s="69">
        <v>2</v>
      </c>
      <c r="E14" s="73" t="str">
        <f>VLOOKUP(C14,TabProdLivraison[],2,FALSE)</f>
        <v>Électroménager</v>
      </c>
      <c r="F14" s="73">
        <f>VLOOKUP(E14,TabDuréeLivraison[],2,FALSE)</f>
        <v>7</v>
      </c>
      <c r="G14" s="70">
        <f t="shared" si="1"/>
        <v>45460</v>
      </c>
      <c r="H14" s="71">
        <f>VLOOKUP(C14,TabProdLivraison[],3,FALSE)</f>
        <v>1200</v>
      </c>
      <c r="I14" s="75">
        <f t="shared" si="2"/>
        <v>2400</v>
      </c>
    </row>
    <row r="15" spans="1:9" hidden="1" x14ac:dyDescent="0.25">
      <c r="A15" s="74">
        <v>45544</v>
      </c>
      <c r="B15" s="72">
        <f t="shared" si="0"/>
        <v>9</v>
      </c>
      <c r="C15" s="1" t="s">
        <v>213</v>
      </c>
      <c r="D15" s="69">
        <v>4</v>
      </c>
      <c r="E15" s="73" t="str">
        <f>VLOOKUP(C15,TabProdLivraison[],2,FALSE)</f>
        <v>Électroménager</v>
      </c>
      <c r="F15" s="73">
        <f>VLOOKUP(E15,TabDuréeLivraison[],2,FALSE)</f>
        <v>7</v>
      </c>
      <c r="G15" s="70">
        <f t="shared" si="1"/>
        <v>45553</v>
      </c>
      <c r="H15" s="71">
        <f>VLOOKUP(C15,TabProdLivraison[],3,FALSE)</f>
        <v>3200</v>
      </c>
      <c r="I15" s="75">
        <f t="shared" si="2"/>
        <v>12800</v>
      </c>
    </row>
    <row r="16" spans="1:9" x14ac:dyDescent="0.25">
      <c r="A16" s="74">
        <v>45501</v>
      </c>
      <c r="B16" s="72">
        <f t="shared" si="0"/>
        <v>7</v>
      </c>
      <c r="C16" s="1" t="s">
        <v>219</v>
      </c>
      <c r="D16" s="69">
        <v>3</v>
      </c>
      <c r="E16" s="73" t="str">
        <f>VLOOKUP(C16,TabProdLivraison[],2,FALSE)</f>
        <v>Livres</v>
      </c>
      <c r="F16" s="73">
        <f>VLOOKUP(E16,TabDuréeLivraison[],2,FALSE)</f>
        <v>3</v>
      </c>
      <c r="G16" s="70">
        <f t="shared" si="1"/>
        <v>45504</v>
      </c>
      <c r="H16" s="71">
        <f>VLOOKUP(C16,TabProdLivraison[],3,FALSE)</f>
        <v>150</v>
      </c>
      <c r="I16" s="75">
        <f t="shared" si="2"/>
        <v>450</v>
      </c>
    </row>
    <row r="17" spans="1:9" hidden="1" x14ac:dyDescent="0.25">
      <c r="A17" s="74">
        <v>45562</v>
      </c>
      <c r="B17" s="72">
        <f t="shared" si="0"/>
        <v>9</v>
      </c>
      <c r="C17" s="1" t="s">
        <v>212</v>
      </c>
      <c r="D17" s="69">
        <v>1</v>
      </c>
      <c r="E17" s="73" t="str">
        <f>VLOOKUP(C17,TabProdLivraison[],2,FALSE)</f>
        <v>Électroménager</v>
      </c>
      <c r="F17" s="73">
        <f>VLOOKUP(E17,TabDuréeLivraison[],2,FALSE)</f>
        <v>7</v>
      </c>
      <c r="G17" s="70">
        <f t="shared" si="1"/>
        <v>45573</v>
      </c>
      <c r="H17" s="71">
        <f>VLOOKUP(C17,TabProdLivraison[],3,FALSE)</f>
        <v>4500</v>
      </c>
      <c r="I17" s="75">
        <f t="shared" si="2"/>
        <v>4500</v>
      </c>
    </row>
    <row r="18" spans="1:9" x14ac:dyDescent="0.25">
      <c r="A18" s="74">
        <v>45476</v>
      </c>
      <c r="B18" s="72">
        <f t="shared" si="0"/>
        <v>7</v>
      </c>
      <c r="C18" s="1" t="s">
        <v>218</v>
      </c>
      <c r="D18" s="69">
        <v>2</v>
      </c>
      <c r="E18" s="73" t="str">
        <f>VLOOKUP(C18,TabProdLivraison[],2,FALSE)</f>
        <v>Livres</v>
      </c>
      <c r="F18" s="73">
        <f>VLOOKUP(E18,TabDuréeLivraison[],2,FALSE)</f>
        <v>3</v>
      </c>
      <c r="G18" s="70">
        <f t="shared" si="1"/>
        <v>45481</v>
      </c>
      <c r="H18" s="71">
        <f>VLOOKUP(C18,TabProdLivraison[],3,FALSE)</f>
        <v>120</v>
      </c>
      <c r="I18" s="75">
        <f t="shared" si="2"/>
        <v>240</v>
      </c>
    </row>
    <row r="19" spans="1:9" hidden="1" x14ac:dyDescent="0.25">
      <c r="A19" s="74">
        <v>45461</v>
      </c>
      <c r="B19" s="72">
        <f t="shared" si="0"/>
        <v>6</v>
      </c>
      <c r="C19" s="1" t="s">
        <v>220</v>
      </c>
      <c r="D19" s="69">
        <v>3</v>
      </c>
      <c r="E19" s="73" t="str">
        <f>VLOOKUP(C19,TabProdLivraison[],2,FALSE)</f>
        <v>Livres</v>
      </c>
      <c r="F19" s="73">
        <f>VLOOKUP(E19,TabDuréeLivraison[],2,FALSE)</f>
        <v>3</v>
      </c>
      <c r="G19" s="70">
        <f t="shared" si="1"/>
        <v>45464</v>
      </c>
      <c r="H19" s="71">
        <f>VLOOKUP(C19,TabProdLivraison[],3,FALSE)</f>
        <v>100</v>
      </c>
      <c r="I19" s="75">
        <f t="shared" si="2"/>
        <v>300</v>
      </c>
    </row>
    <row r="20" spans="1:9" hidden="1" x14ac:dyDescent="0.25">
      <c r="A20" s="74">
        <v>45512</v>
      </c>
      <c r="B20" s="72">
        <f t="shared" si="0"/>
        <v>8</v>
      </c>
      <c r="C20" s="1" t="s">
        <v>217</v>
      </c>
      <c r="D20" s="69">
        <v>1</v>
      </c>
      <c r="E20" s="73" t="str">
        <f>VLOOKUP(C20,TabProdLivraison[],2,FALSE)</f>
        <v>Électroménager</v>
      </c>
      <c r="F20" s="73">
        <f>VLOOKUP(E20,TabDuréeLivraison[],2,FALSE)</f>
        <v>7</v>
      </c>
      <c r="G20" s="70">
        <f t="shared" si="1"/>
        <v>45523</v>
      </c>
      <c r="H20" s="71">
        <f>VLOOKUP(C20,TabProdLivraison[],3,FALSE)</f>
        <v>600</v>
      </c>
      <c r="I20" s="75">
        <f t="shared" si="2"/>
        <v>600</v>
      </c>
    </row>
    <row r="21" spans="1:9" hidden="1" x14ac:dyDescent="0.25">
      <c r="A21" s="74">
        <v>45468</v>
      </c>
      <c r="B21" s="72">
        <f t="shared" si="0"/>
        <v>6</v>
      </c>
      <c r="C21" s="1" t="s">
        <v>223</v>
      </c>
      <c r="D21" s="69">
        <v>2</v>
      </c>
      <c r="E21" s="73" t="str">
        <f>VLOOKUP(C21,TabProdLivraison[],2,FALSE)</f>
        <v>Soin &amp; Beauté</v>
      </c>
      <c r="F21" s="73">
        <f>VLOOKUP(E21,TabDuréeLivraison[],2,FALSE)</f>
        <v>5</v>
      </c>
      <c r="G21" s="70">
        <f t="shared" si="1"/>
        <v>45475</v>
      </c>
      <c r="H21" s="71">
        <f>VLOOKUP(C21,TabProdLivraison[],3,FALSE)</f>
        <v>250</v>
      </c>
      <c r="I21" s="75">
        <f t="shared" si="2"/>
        <v>500</v>
      </c>
    </row>
    <row r="22" spans="1:9" x14ac:dyDescent="0.25">
      <c r="A22" s="74">
        <v>45492</v>
      </c>
      <c r="B22" s="72">
        <f t="shared" si="0"/>
        <v>7</v>
      </c>
      <c r="C22" s="1" t="s">
        <v>222</v>
      </c>
      <c r="D22" s="69">
        <v>1</v>
      </c>
      <c r="E22" s="73" t="str">
        <f>VLOOKUP(C22,TabProdLivraison[],2,FALSE)</f>
        <v>Soin &amp; Beauté</v>
      </c>
      <c r="F22" s="73">
        <f>VLOOKUP(E22,TabDuréeLivraison[],2,FALSE)</f>
        <v>5</v>
      </c>
      <c r="G22" s="70">
        <f t="shared" si="1"/>
        <v>45499</v>
      </c>
      <c r="H22" s="71">
        <f>VLOOKUP(C22,TabProdLivraison[],3,FALSE)</f>
        <v>80</v>
      </c>
      <c r="I22" s="75">
        <f t="shared" si="2"/>
        <v>80</v>
      </c>
    </row>
    <row r="23" spans="1:9" hidden="1" x14ac:dyDescent="0.25">
      <c r="A23" s="74">
        <v>45505</v>
      </c>
      <c r="B23" s="72">
        <f t="shared" si="0"/>
        <v>8</v>
      </c>
      <c r="C23" s="1" t="s">
        <v>218</v>
      </c>
      <c r="D23" s="69">
        <v>4</v>
      </c>
      <c r="E23" s="73" t="str">
        <f>VLOOKUP(C23,TabProdLivraison[],2,FALSE)</f>
        <v>Livres</v>
      </c>
      <c r="F23" s="73">
        <f>VLOOKUP(E23,TabDuréeLivraison[],2,FALSE)</f>
        <v>3</v>
      </c>
      <c r="G23" s="70">
        <f t="shared" si="1"/>
        <v>45510</v>
      </c>
      <c r="H23" s="71">
        <f>VLOOKUP(C23,TabProdLivraison[],3,FALSE)</f>
        <v>120</v>
      </c>
      <c r="I23" s="75">
        <f t="shared" si="2"/>
        <v>480</v>
      </c>
    </row>
    <row r="24" spans="1:9" hidden="1" x14ac:dyDescent="0.25">
      <c r="A24" s="74">
        <v>45549</v>
      </c>
      <c r="B24" s="72">
        <f t="shared" si="0"/>
        <v>9</v>
      </c>
      <c r="C24" s="1" t="s">
        <v>219</v>
      </c>
      <c r="D24" s="69">
        <v>2</v>
      </c>
      <c r="E24" s="73" t="str">
        <f>VLOOKUP(C24,TabProdLivraison[],2,FALSE)</f>
        <v>Livres</v>
      </c>
      <c r="F24" s="73">
        <f>VLOOKUP(E24,TabDuréeLivraison[],2,FALSE)</f>
        <v>3</v>
      </c>
      <c r="G24" s="70">
        <f t="shared" si="1"/>
        <v>45553</v>
      </c>
      <c r="H24" s="71">
        <f>VLOOKUP(C24,TabProdLivraison[],3,FALSE)</f>
        <v>150</v>
      </c>
      <c r="I24" s="75">
        <f t="shared" si="2"/>
        <v>300</v>
      </c>
    </row>
    <row r="25" spans="1:9" hidden="1" x14ac:dyDescent="0.25">
      <c r="A25" s="74">
        <v>45452</v>
      </c>
      <c r="B25" s="72">
        <f t="shared" si="0"/>
        <v>6</v>
      </c>
      <c r="C25" s="1" t="s">
        <v>220</v>
      </c>
      <c r="D25" s="69">
        <v>3</v>
      </c>
      <c r="E25" s="73" t="str">
        <f>VLOOKUP(C25,TabProdLivraison[],2,FALSE)</f>
        <v>Livres</v>
      </c>
      <c r="F25" s="73">
        <f>VLOOKUP(E25,TabDuréeLivraison[],2,FALSE)</f>
        <v>3</v>
      </c>
      <c r="G25" s="70">
        <f t="shared" si="1"/>
        <v>45455</v>
      </c>
      <c r="H25" s="71">
        <f>VLOOKUP(C25,TabProdLivraison[],3,FALSE)</f>
        <v>100</v>
      </c>
      <c r="I25" s="75">
        <f t="shared" si="2"/>
        <v>300</v>
      </c>
    </row>
    <row r="26" spans="1:9" hidden="1" x14ac:dyDescent="0.25">
      <c r="A26" s="74">
        <v>45538</v>
      </c>
      <c r="B26" s="72">
        <f t="shared" si="0"/>
        <v>9</v>
      </c>
      <c r="C26" s="1" t="s">
        <v>221</v>
      </c>
      <c r="D26" s="69">
        <v>2</v>
      </c>
      <c r="E26" s="73" t="str">
        <f>VLOOKUP(C26,TabProdLivraison[],2,FALSE)</f>
        <v>Soin &amp; Beauté</v>
      </c>
      <c r="F26" s="73">
        <f>VLOOKUP(E26,TabDuréeLivraison[],2,FALSE)</f>
        <v>5</v>
      </c>
      <c r="G26" s="70">
        <f t="shared" si="1"/>
        <v>45545</v>
      </c>
      <c r="H26" s="71">
        <f>VLOOKUP(C26,TabProdLivraison[],3,FALSE)</f>
        <v>350</v>
      </c>
      <c r="I26" s="75">
        <f t="shared" si="2"/>
        <v>700</v>
      </c>
    </row>
    <row r="27" spans="1:9" hidden="1" x14ac:dyDescent="0.25">
      <c r="A27" s="74">
        <v>45455</v>
      </c>
      <c r="B27" s="72">
        <f t="shared" si="0"/>
        <v>6</v>
      </c>
      <c r="C27" s="1" t="s">
        <v>217</v>
      </c>
      <c r="D27" s="69">
        <v>1</v>
      </c>
      <c r="E27" s="73" t="str">
        <f>VLOOKUP(C27,TabProdLivraison[],2,FALSE)</f>
        <v>Électroménager</v>
      </c>
      <c r="F27" s="73">
        <f>VLOOKUP(E27,TabDuréeLivraison[],2,FALSE)</f>
        <v>7</v>
      </c>
      <c r="G27" s="70">
        <f t="shared" si="1"/>
        <v>45464</v>
      </c>
      <c r="H27" s="71">
        <f>VLOOKUP(C27,TabProdLivraison[],3,FALSE)</f>
        <v>600</v>
      </c>
      <c r="I27" s="75">
        <f t="shared" si="2"/>
        <v>600</v>
      </c>
    </row>
    <row r="28" spans="1:9" x14ac:dyDescent="0.25">
      <c r="A28" s="74">
        <v>45497</v>
      </c>
      <c r="B28" s="72">
        <f t="shared" si="0"/>
        <v>7</v>
      </c>
      <c r="C28" s="1" t="s">
        <v>218</v>
      </c>
      <c r="D28" s="69">
        <v>1</v>
      </c>
      <c r="E28" s="73" t="str">
        <f>VLOOKUP(C28,TabProdLivraison[],2,FALSE)</f>
        <v>Livres</v>
      </c>
      <c r="F28" s="73">
        <f>VLOOKUP(E28,TabDuréeLivraison[],2,FALSE)</f>
        <v>3</v>
      </c>
      <c r="G28" s="70">
        <f t="shared" si="1"/>
        <v>45502</v>
      </c>
      <c r="H28" s="71">
        <f>VLOOKUP(C28,TabProdLivraison[],3,FALSE)</f>
        <v>120</v>
      </c>
      <c r="I28" s="75">
        <f t="shared" si="2"/>
        <v>120</v>
      </c>
    </row>
    <row r="29" spans="1:9" hidden="1" x14ac:dyDescent="0.25">
      <c r="A29" s="74">
        <v>45514</v>
      </c>
      <c r="B29" s="72">
        <f t="shared" si="0"/>
        <v>8</v>
      </c>
      <c r="C29" s="1" t="s">
        <v>212</v>
      </c>
      <c r="D29" s="69">
        <v>2</v>
      </c>
      <c r="E29" s="73" t="str">
        <f>VLOOKUP(C29,TabProdLivraison[],2,FALSE)</f>
        <v>Électroménager</v>
      </c>
      <c r="F29" s="73">
        <f>VLOOKUP(E29,TabDuréeLivraison[],2,FALSE)</f>
        <v>7</v>
      </c>
      <c r="G29" s="70">
        <f t="shared" si="1"/>
        <v>45524</v>
      </c>
      <c r="H29" s="71">
        <f>VLOOKUP(C29,TabProdLivraison[],3,FALSE)</f>
        <v>4500</v>
      </c>
      <c r="I29" s="75">
        <f t="shared" si="2"/>
        <v>9000</v>
      </c>
    </row>
    <row r="30" spans="1:9" hidden="1" x14ac:dyDescent="0.25">
      <c r="A30" s="74">
        <v>45542</v>
      </c>
      <c r="B30" s="72">
        <f t="shared" si="0"/>
        <v>9</v>
      </c>
      <c r="C30" s="1" t="s">
        <v>213</v>
      </c>
      <c r="D30" s="69">
        <v>3</v>
      </c>
      <c r="E30" s="73" t="str">
        <f>VLOOKUP(C30,TabProdLivraison[],2,FALSE)</f>
        <v>Électroménager</v>
      </c>
      <c r="F30" s="73">
        <f>VLOOKUP(E30,TabDuréeLivraison[],2,FALSE)</f>
        <v>7</v>
      </c>
      <c r="G30" s="70">
        <f t="shared" si="1"/>
        <v>45552</v>
      </c>
      <c r="H30" s="71">
        <f>VLOOKUP(C30,TabProdLivraison[],3,FALSE)</f>
        <v>3200</v>
      </c>
      <c r="I30" s="75">
        <f t="shared" si="2"/>
        <v>9600</v>
      </c>
    </row>
    <row r="31" spans="1:9" hidden="1" x14ac:dyDescent="0.25">
      <c r="A31" s="74">
        <v>45524</v>
      </c>
      <c r="B31" s="72">
        <f t="shared" si="0"/>
        <v>8</v>
      </c>
      <c r="C31" s="1" t="s">
        <v>222</v>
      </c>
      <c r="D31" s="69">
        <v>4</v>
      </c>
      <c r="E31" s="73" t="str">
        <f>VLOOKUP(C31,TabProdLivraison[],2,FALSE)</f>
        <v>Soin &amp; Beauté</v>
      </c>
      <c r="F31" s="73">
        <f>VLOOKUP(E31,TabDuréeLivraison[],2,FALSE)</f>
        <v>5</v>
      </c>
      <c r="G31" s="70">
        <f t="shared" si="1"/>
        <v>45531</v>
      </c>
      <c r="H31" s="71">
        <f>VLOOKUP(C31,TabProdLivraison[],3,FALSE)</f>
        <v>80</v>
      </c>
      <c r="I31" s="75">
        <f t="shared" si="2"/>
        <v>320</v>
      </c>
    </row>
    <row r="32" spans="1:9" x14ac:dyDescent="0.25">
      <c r="A32" s="74">
        <v>45478</v>
      </c>
      <c r="B32" s="72">
        <f t="shared" si="0"/>
        <v>7</v>
      </c>
      <c r="C32" s="1" t="s">
        <v>221</v>
      </c>
      <c r="D32" s="69">
        <v>1</v>
      </c>
      <c r="E32" s="73" t="str">
        <f>VLOOKUP(C32,TabProdLivraison[],2,FALSE)</f>
        <v>Soin &amp; Beauté</v>
      </c>
      <c r="F32" s="73">
        <f>VLOOKUP(E32,TabDuréeLivraison[],2,FALSE)</f>
        <v>5</v>
      </c>
      <c r="G32" s="70">
        <f t="shared" si="1"/>
        <v>45485</v>
      </c>
      <c r="H32" s="71">
        <f>VLOOKUP(C32,TabProdLivraison[],3,FALSE)</f>
        <v>350</v>
      </c>
      <c r="I32" s="75">
        <f t="shared" si="2"/>
        <v>350</v>
      </c>
    </row>
    <row r="33" spans="1:9" hidden="1" x14ac:dyDescent="0.25">
      <c r="A33" s="74">
        <v>45466</v>
      </c>
      <c r="B33" s="72">
        <f t="shared" si="0"/>
        <v>6</v>
      </c>
      <c r="C33" s="1" t="s">
        <v>223</v>
      </c>
      <c r="D33" s="69">
        <v>2</v>
      </c>
      <c r="E33" s="73" t="str">
        <f>VLOOKUP(C33,TabProdLivraison[],2,FALSE)</f>
        <v>Soin &amp; Beauté</v>
      </c>
      <c r="F33" s="73">
        <f>VLOOKUP(E33,TabDuréeLivraison[],2,FALSE)</f>
        <v>5</v>
      </c>
      <c r="G33" s="70">
        <f t="shared" si="1"/>
        <v>45471</v>
      </c>
      <c r="H33" s="71">
        <f>VLOOKUP(C33,TabProdLivraison[],3,FALSE)</f>
        <v>250</v>
      </c>
      <c r="I33" s="75">
        <f t="shared" si="2"/>
        <v>500</v>
      </c>
    </row>
    <row r="34" spans="1:9" hidden="1" x14ac:dyDescent="0.25">
      <c r="A34" s="74">
        <v>45565</v>
      </c>
      <c r="B34" s="72">
        <f t="shared" si="0"/>
        <v>9</v>
      </c>
      <c r="C34" s="1" t="s">
        <v>219</v>
      </c>
      <c r="D34" s="69">
        <v>3</v>
      </c>
      <c r="E34" s="73" t="str">
        <f>VLOOKUP(C34,TabProdLivraison[],2,FALSE)</f>
        <v>Livres</v>
      </c>
      <c r="F34" s="73">
        <f>VLOOKUP(E34,TabDuréeLivraison[],2,FALSE)</f>
        <v>3</v>
      </c>
      <c r="G34" s="70">
        <f t="shared" si="1"/>
        <v>45568</v>
      </c>
      <c r="H34" s="71">
        <f>VLOOKUP(C34,TabProdLivraison[],3,FALSE)</f>
        <v>150</v>
      </c>
      <c r="I34" s="75">
        <f t="shared" si="2"/>
        <v>450</v>
      </c>
    </row>
    <row r="35" spans="1:9" x14ac:dyDescent="0.25">
      <c r="A35" s="74">
        <v>45487</v>
      </c>
      <c r="B35" s="72">
        <f t="shared" si="0"/>
        <v>7</v>
      </c>
      <c r="C35" s="1" t="s">
        <v>220</v>
      </c>
      <c r="D35" s="69">
        <v>2</v>
      </c>
      <c r="E35" s="73" t="str">
        <f>VLOOKUP(C35,TabProdLivraison[],2,FALSE)</f>
        <v>Livres</v>
      </c>
      <c r="F35" s="73">
        <f>VLOOKUP(E35,TabDuréeLivraison[],2,FALSE)</f>
        <v>3</v>
      </c>
      <c r="G35" s="70">
        <f t="shared" si="1"/>
        <v>45490</v>
      </c>
      <c r="H35" s="71">
        <f>VLOOKUP(C35,TabProdLivraison[],3,FALSE)</f>
        <v>100</v>
      </c>
      <c r="I35" s="75">
        <f t="shared" si="2"/>
        <v>200</v>
      </c>
    </row>
    <row r="36" spans="1:9" hidden="1" x14ac:dyDescent="0.25">
      <c r="A36" s="74">
        <v>45507</v>
      </c>
      <c r="B36" s="72">
        <f t="shared" si="0"/>
        <v>8</v>
      </c>
      <c r="C36" s="1" t="s">
        <v>215</v>
      </c>
      <c r="D36" s="69">
        <v>4</v>
      </c>
      <c r="E36" s="73" t="str">
        <f>VLOOKUP(C36,TabProdLivraison[],2,FALSE)</f>
        <v>Électroménager</v>
      </c>
      <c r="F36" s="73">
        <f>VLOOKUP(E36,TabDuréeLivraison[],2,FALSE)</f>
        <v>7</v>
      </c>
      <c r="G36" s="70">
        <f t="shared" si="1"/>
        <v>45517</v>
      </c>
      <c r="H36" s="71">
        <f>VLOOKUP(C36,TabProdLivraison[],3,FALSE)</f>
        <v>1200</v>
      </c>
      <c r="I36" s="75">
        <f t="shared" si="2"/>
        <v>4800</v>
      </c>
    </row>
    <row r="37" spans="1:9" hidden="1" x14ac:dyDescent="0.25">
      <c r="A37" s="74">
        <v>45463</v>
      </c>
      <c r="B37" s="72">
        <f t="shared" si="0"/>
        <v>6</v>
      </c>
      <c r="C37" s="1" t="s">
        <v>222</v>
      </c>
      <c r="D37" s="69">
        <v>2</v>
      </c>
      <c r="E37" s="73" t="str">
        <f>VLOOKUP(C37,TabProdLivraison[],2,FALSE)</f>
        <v>Soin &amp; Beauté</v>
      </c>
      <c r="F37" s="73">
        <f>VLOOKUP(E37,TabDuréeLivraison[],2,FALSE)</f>
        <v>5</v>
      </c>
      <c r="G37" s="70">
        <f t="shared" si="1"/>
        <v>45470</v>
      </c>
      <c r="H37" s="71">
        <f>VLOOKUP(C37,TabProdLivraison[],3,FALSE)</f>
        <v>80</v>
      </c>
      <c r="I37" s="75">
        <f t="shared" si="2"/>
        <v>160</v>
      </c>
    </row>
    <row r="38" spans="1:9" x14ac:dyDescent="0.25">
      <c r="A38" s="74">
        <v>45482</v>
      </c>
      <c r="B38" s="72">
        <f t="shared" si="0"/>
        <v>7</v>
      </c>
      <c r="C38" s="1" t="s">
        <v>212</v>
      </c>
      <c r="D38" s="69">
        <v>1</v>
      </c>
      <c r="E38" s="73" t="str">
        <f>VLOOKUP(C38,TabProdLivraison[],2,FALSE)</f>
        <v>Électroménager</v>
      </c>
      <c r="F38" s="73">
        <f>VLOOKUP(E38,TabDuréeLivraison[],2,FALSE)</f>
        <v>7</v>
      </c>
      <c r="G38" s="70">
        <f t="shared" si="1"/>
        <v>45491</v>
      </c>
      <c r="H38" s="71">
        <f>VLOOKUP(C38,TabProdLivraison[],3,FALSE)</f>
        <v>4500</v>
      </c>
      <c r="I38" s="75">
        <f t="shared" si="2"/>
        <v>4500</v>
      </c>
    </row>
    <row r="39" spans="1:9" hidden="1" x14ac:dyDescent="0.25">
      <c r="A39" s="74">
        <v>45519</v>
      </c>
      <c r="B39" s="72">
        <f t="shared" si="0"/>
        <v>8</v>
      </c>
      <c r="C39" s="1" t="s">
        <v>223</v>
      </c>
      <c r="D39" s="69">
        <v>4</v>
      </c>
      <c r="E39" s="73" t="str">
        <f>VLOOKUP(C39,TabProdLivraison[],2,FALSE)</f>
        <v>Soin &amp; Beauté</v>
      </c>
      <c r="F39" s="73">
        <f>VLOOKUP(E39,TabDuréeLivraison[],2,FALSE)</f>
        <v>5</v>
      </c>
      <c r="G39" s="70">
        <f t="shared" si="1"/>
        <v>45526</v>
      </c>
      <c r="H39" s="71">
        <f>VLOOKUP(C39,TabProdLivraison[],3,FALSE)</f>
        <v>250</v>
      </c>
      <c r="I39" s="75">
        <f t="shared" si="2"/>
        <v>1000</v>
      </c>
    </row>
    <row r="40" spans="1:9" x14ac:dyDescent="0.25">
      <c r="A40" s="74">
        <v>45490</v>
      </c>
      <c r="B40" s="72">
        <f t="shared" si="0"/>
        <v>7</v>
      </c>
      <c r="C40" s="1" t="s">
        <v>213</v>
      </c>
      <c r="D40" s="69">
        <v>2</v>
      </c>
      <c r="E40" s="73" t="str">
        <f>VLOOKUP(C40,TabProdLivraison[],2,FALSE)</f>
        <v>Électroménager</v>
      </c>
      <c r="F40" s="73">
        <f>VLOOKUP(E40,TabDuréeLivraison[],2,FALSE)</f>
        <v>7</v>
      </c>
      <c r="G40" s="70">
        <f t="shared" si="1"/>
        <v>45499</v>
      </c>
      <c r="H40" s="71">
        <f>VLOOKUP(C40,TabProdLivraison[],3,FALSE)</f>
        <v>3200</v>
      </c>
      <c r="I40" s="75">
        <f t="shared" si="2"/>
        <v>6400</v>
      </c>
    </row>
    <row r="41" spans="1:9" hidden="1" x14ac:dyDescent="0.25">
      <c r="A41" s="74">
        <v>45545</v>
      </c>
      <c r="B41" s="72">
        <f t="shared" si="0"/>
        <v>9</v>
      </c>
      <c r="C41" s="1" t="s">
        <v>218</v>
      </c>
      <c r="D41" s="69">
        <v>1</v>
      </c>
      <c r="E41" s="73" t="str">
        <f>VLOOKUP(C41,TabProdLivraison[],2,FALSE)</f>
        <v>Livres</v>
      </c>
      <c r="F41" s="73">
        <f>VLOOKUP(E41,TabDuréeLivraison[],2,FALSE)</f>
        <v>3</v>
      </c>
      <c r="G41" s="70">
        <f t="shared" si="1"/>
        <v>45548</v>
      </c>
      <c r="H41" s="71">
        <f>VLOOKUP(C41,TabProdLivraison[],3,FALSE)</f>
        <v>120</v>
      </c>
      <c r="I41" s="75">
        <f t="shared" si="2"/>
        <v>120</v>
      </c>
    </row>
    <row r="42" spans="1:9" hidden="1" x14ac:dyDescent="0.25">
      <c r="A42" s="74">
        <v>45473</v>
      </c>
      <c r="B42" s="72">
        <f t="shared" si="0"/>
        <v>6</v>
      </c>
      <c r="C42" s="1" t="s">
        <v>215</v>
      </c>
      <c r="D42" s="69">
        <v>3</v>
      </c>
      <c r="E42" s="73" t="str">
        <f>VLOOKUP(C42,TabProdLivraison[],2,FALSE)</f>
        <v>Électroménager</v>
      </c>
      <c r="F42" s="73">
        <f>VLOOKUP(E42,TabDuréeLivraison[],2,FALSE)</f>
        <v>7</v>
      </c>
      <c r="G42" s="70">
        <f t="shared" si="1"/>
        <v>45482</v>
      </c>
      <c r="H42" s="71">
        <f>VLOOKUP(C42,TabProdLivraison[],3,FALSE)</f>
        <v>1200</v>
      </c>
      <c r="I42" s="75">
        <f t="shared" si="2"/>
        <v>3600</v>
      </c>
    </row>
    <row r="43" spans="1:9" hidden="1" x14ac:dyDescent="0.25">
      <c r="A43" s="74">
        <v>45541</v>
      </c>
      <c r="B43" s="72">
        <f t="shared" si="0"/>
        <v>9</v>
      </c>
      <c r="C43" s="1" t="s">
        <v>221</v>
      </c>
      <c r="D43" s="69">
        <v>1</v>
      </c>
      <c r="E43" s="73" t="str">
        <f>VLOOKUP(C43,TabProdLivraison[],2,FALSE)</f>
        <v>Soin &amp; Beauté</v>
      </c>
      <c r="F43" s="73">
        <f>VLOOKUP(E43,TabDuréeLivraison[],2,FALSE)</f>
        <v>5</v>
      </c>
      <c r="G43" s="70">
        <f t="shared" si="1"/>
        <v>45548</v>
      </c>
      <c r="H43" s="71">
        <f>VLOOKUP(C43,TabProdLivraison[],3,FALSE)</f>
        <v>350</v>
      </c>
      <c r="I43" s="75">
        <f t="shared" si="2"/>
        <v>350</v>
      </c>
    </row>
    <row r="44" spans="1:9" hidden="1" x14ac:dyDescent="0.25">
      <c r="A44" s="74">
        <v>45534</v>
      </c>
      <c r="B44" s="72">
        <f t="shared" si="0"/>
        <v>8</v>
      </c>
      <c r="C44" s="1" t="s">
        <v>219</v>
      </c>
      <c r="D44" s="69">
        <v>4</v>
      </c>
      <c r="E44" s="73" t="str">
        <f>VLOOKUP(C44,TabProdLivraison[],2,FALSE)</f>
        <v>Livres</v>
      </c>
      <c r="F44" s="73">
        <f>VLOOKUP(E44,TabDuréeLivraison[],2,FALSE)</f>
        <v>3</v>
      </c>
      <c r="G44" s="70">
        <f t="shared" si="1"/>
        <v>45539</v>
      </c>
      <c r="H44" s="71">
        <f>VLOOKUP(C44,TabProdLivraison[],3,FALSE)</f>
        <v>150</v>
      </c>
      <c r="I44" s="75">
        <f t="shared" si="2"/>
        <v>600</v>
      </c>
    </row>
    <row r="45" spans="1:9" x14ac:dyDescent="0.25">
      <c r="A45" s="74">
        <v>45474</v>
      </c>
      <c r="B45" s="72">
        <f t="shared" si="0"/>
        <v>7</v>
      </c>
      <c r="C45" s="1" t="s">
        <v>217</v>
      </c>
      <c r="D45" s="69">
        <v>2</v>
      </c>
      <c r="E45" s="73" t="str">
        <f>VLOOKUP(C45,TabProdLivraison[],2,FALSE)</f>
        <v>Électroménager</v>
      </c>
      <c r="F45" s="73">
        <f>VLOOKUP(E45,TabDuréeLivraison[],2,FALSE)</f>
        <v>7</v>
      </c>
      <c r="G45" s="70">
        <f t="shared" si="1"/>
        <v>45483</v>
      </c>
      <c r="H45" s="71">
        <f>VLOOKUP(C45,TabProdLivraison[],3,FALSE)</f>
        <v>600</v>
      </c>
      <c r="I45" s="75">
        <f t="shared" si="2"/>
        <v>1200</v>
      </c>
    </row>
    <row r="46" spans="1:9" hidden="1" x14ac:dyDescent="0.25">
      <c r="A46" s="74">
        <v>45446</v>
      </c>
      <c r="B46" s="72">
        <f t="shared" si="0"/>
        <v>6</v>
      </c>
      <c r="C46" s="1" t="s">
        <v>220</v>
      </c>
      <c r="D46" s="69">
        <v>1</v>
      </c>
      <c r="E46" s="73" t="str">
        <f>VLOOKUP(C46,TabProdLivraison[],2,FALSE)</f>
        <v>Livres</v>
      </c>
      <c r="F46" s="73">
        <f>VLOOKUP(E46,TabDuréeLivraison[],2,FALSE)</f>
        <v>3</v>
      </c>
      <c r="G46" s="70">
        <f t="shared" si="1"/>
        <v>45449</v>
      </c>
      <c r="H46" s="71">
        <f>VLOOKUP(C46,TabProdLivraison[],3,FALSE)</f>
        <v>100</v>
      </c>
      <c r="I46" s="75">
        <f t="shared" si="2"/>
        <v>100</v>
      </c>
    </row>
    <row r="47" spans="1:9" hidden="1" x14ac:dyDescent="0.25">
      <c r="A47" s="74">
        <v>45557</v>
      </c>
      <c r="B47" s="72">
        <f t="shared" si="0"/>
        <v>9</v>
      </c>
      <c r="C47" s="1" t="s">
        <v>213</v>
      </c>
      <c r="D47" s="69">
        <v>3</v>
      </c>
      <c r="E47" s="73" t="str">
        <f>VLOOKUP(C47,TabProdLivraison[],2,FALSE)</f>
        <v>Électroménager</v>
      </c>
      <c r="F47" s="73">
        <f>VLOOKUP(E47,TabDuréeLivraison[],2,FALSE)</f>
        <v>7</v>
      </c>
      <c r="G47" s="70">
        <f t="shared" si="1"/>
        <v>45566</v>
      </c>
      <c r="H47" s="71">
        <f>VLOOKUP(C47,TabProdLivraison[],3,FALSE)</f>
        <v>3200</v>
      </c>
      <c r="I47" s="75">
        <f t="shared" si="2"/>
        <v>9600</v>
      </c>
    </row>
    <row r="48" spans="1:9" hidden="1" x14ac:dyDescent="0.25">
      <c r="A48" s="74">
        <v>45510</v>
      </c>
      <c r="B48" s="72">
        <f t="shared" si="0"/>
        <v>8</v>
      </c>
      <c r="C48" s="1" t="s">
        <v>223</v>
      </c>
      <c r="D48" s="69">
        <v>2</v>
      </c>
      <c r="E48" s="73" t="str">
        <f>VLOOKUP(C48,TabProdLivraison[],2,FALSE)</f>
        <v>Soin &amp; Beauté</v>
      </c>
      <c r="F48" s="73">
        <f>VLOOKUP(E48,TabDuréeLivraison[],2,FALSE)</f>
        <v>5</v>
      </c>
      <c r="G48" s="70">
        <f t="shared" si="1"/>
        <v>45517</v>
      </c>
      <c r="H48" s="71">
        <f>VLOOKUP(C48,TabProdLivraison[],3,FALSE)</f>
        <v>250</v>
      </c>
      <c r="I48" s="75">
        <f t="shared" si="2"/>
        <v>500</v>
      </c>
    </row>
    <row r="49" spans="1:9" hidden="1" x14ac:dyDescent="0.25">
      <c r="A49" s="74">
        <v>45537</v>
      </c>
      <c r="B49" s="72">
        <f t="shared" si="0"/>
        <v>9</v>
      </c>
      <c r="C49" s="1" t="s">
        <v>212</v>
      </c>
      <c r="D49" s="69">
        <v>1</v>
      </c>
      <c r="E49" s="73" t="str">
        <f>VLOOKUP(C49,TabProdLivraison[],2,FALSE)</f>
        <v>Électroménager</v>
      </c>
      <c r="F49" s="73">
        <f>VLOOKUP(E49,TabDuréeLivraison[],2,FALSE)</f>
        <v>7</v>
      </c>
      <c r="G49" s="70">
        <f t="shared" si="1"/>
        <v>45546</v>
      </c>
      <c r="H49" s="71">
        <f>VLOOKUP(C49,TabProdLivraison[],3,FALSE)</f>
        <v>4500</v>
      </c>
      <c r="I49" s="75">
        <f t="shared" si="2"/>
        <v>4500</v>
      </c>
    </row>
    <row r="50" spans="1:9" x14ac:dyDescent="0.25">
      <c r="A50" s="74">
        <v>45479</v>
      </c>
      <c r="B50" s="72">
        <f t="shared" si="0"/>
        <v>7</v>
      </c>
      <c r="C50" s="1" t="s">
        <v>218</v>
      </c>
      <c r="D50" s="69">
        <v>4</v>
      </c>
      <c r="E50" s="73" t="str">
        <f>VLOOKUP(C50,TabProdLivraison[],2,FALSE)</f>
        <v>Livres</v>
      </c>
      <c r="F50" s="73">
        <f>VLOOKUP(E50,TabDuréeLivraison[],2,FALSE)</f>
        <v>3</v>
      </c>
      <c r="G50" s="70">
        <f t="shared" si="1"/>
        <v>45483</v>
      </c>
      <c r="H50" s="71">
        <f>VLOOKUP(C50,TabProdLivraison[],3,FALSE)</f>
        <v>120</v>
      </c>
      <c r="I50" s="75">
        <f t="shared" si="2"/>
        <v>480</v>
      </c>
    </row>
    <row r="51" spans="1:9" hidden="1" x14ac:dyDescent="0.25">
      <c r="A51" s="74">
        <v>45522</v>
      </c>
      <c r="B51" s="72">
        <f t="shared" si="0"/>
        <v>8</v>
      </c>
      <c r="C51" s="1" t="s">
        <v>222</v>
      </c>
      <c r="D51" s="69">
        <v>1</v>
      </c>
      <c r="E51" s="73" t="str">
        <f>VLOOKUP(C51,TabProdLivraison[],2,FALSE)</f>
        <v>Soin &amp; Beauté</v>
      </c>
      <c r="F51" s="73">
        <f>VLOOKUP(E51,TabDuréeLivraison[],2,FALSE)</f>
        <v>5</v>
      </c>
      <c r="G51" s="70">
        <f t="shared" si="1"/>
        <v>45527</v>
      </c>
      <c r="H51" s="71">
        <f>VLOOKUP(C51,TabProdLivraison[],3,FALSE)</f>
        <v>80</v>
      </c>
      <c r="I51" s="75">
        <f t="shared" si="2"/>
        <v>80</v>
      </c>
    </row>
    <row r="52" spans="1:9" hidden="1" x14ac:dyDescent="0.25">
      <c r="A52" s="74">
        <v>45546</v>
      </c>
      <c r="B52" s="72">
        <f t="shared" si="0"/>
        <v>9</v>
      </c>
      <c r="C52" s="1" t="s">
        <v>215</v>
      </c>
      <c r="D52" s="69">
        <v>3</v>
      </c>
      <c r="E52" s="73" t="str">
        <f>VLOOKUP(C52,TabProdLivraison[],2,FALSE)</f>
        <v>Électroménager</v>
      </c>
      <c r="F52" s="73">
        <f>VLOOKUP(E52,TabDuréeLivraison[],2,FALSE)</f>
        <v>7</v>
      </c>
      <c r="G52" s="70">
        <f t="shared" si="1"/>
        <v>45555</v>
      </c>
      <c r="H52" s="71">
        <f>VLOOKUP(C52,TabProdLivraison[],3,FALSE)</f>
        <v>1200</v>
      </c>
      <c r="I52" s="75">
        <f t="shared" si="2"/>
        <v>3600</v>
      </c>
    </row>
    <row r="53" spans="1:9" x14ac:dyDescent="0.25">
      <c r="A53" s="74">
        <v>45486</v>
      </c>
      <c r="B53" s="72">
        <f t="shared" si="0"/>
        <v>7</v>
      </c>
      <c r="C53" s="1" t="s">
        <v>213</v>
      </c>
      <c r="D53" s="69">
        <v>2</v>
      </c>
      <c r="E53" s="73" t="str">
        <f>VLOOKUP(C53,TabProdLivraison[],2,FALSE)</f>
        <v>Électroménager</v>
      </c>
      <c r="F53" s="73">
        <f>VLOOKUP(E53,TabDuréeLivraison[],2,FALSE)</f>
        <v>7</v>
      </c>
      <c r="G53" s="70">
        <f t="shared" si="1"/>
        <v>45496</v>
      </c>
      <c r="H53" s="71">
        <f>VLOOKUP(C53,TabProdLivraison[],3,FALSE)</f>
        <v>3200</v>
      </c>
      <c r="I53" s="75">
        <f t="shared" si="2"/>
        <v>6400</v>
      </c>
    </row>
    <row r="54" spans="1:9" hidden="1" x14ac:dyDescent="0.25">
      <c r="A54" s="74">
        <v>45471</v>
      </c>
      <c r="B54" s="72">
        <f t="shared" si="0"/>
        <v>6</v>
      </c>
      <c r="C54" s="1" t="s">
        <v>219</v>
      </c>
      <c r="D54" s="69">
        <v>2</v>
      </c>
      <c r="E54" s="73" t="str">
        <f>VLOOKUP(C54,TabProdLivraison[],2,FALSE)</f>
        <v>Livres</v>
      </c>
      <c r="F54" s="73">
        <f>VLOOKUP(E54,TabDuréeLivraison[],2,FALSE)</f>
        <v>3</v>
      </c>
      <c r="G54" s="70">
        <f t="shared" si="1"/>
        <v>45476</v>
      </c>
      <c r="H54" s="71">
        <f>VLOOKUP(C54,TabProdLivraison[],3,FALSE)</f>
        <v>150</v>
      </c>
      <c r="I54" s="75">
        <f t="shared" si="2"/>
        <v>300</v>
      </c>
    </row>
    <row r="55" spans="1:9" hidden="1" x14ac:dyDescent="0.25">
      <c r="A55" s="74">
        <v>45555</v>
      </c>
      <c r="B55" s="72">
        <f t="shared" si="0"/>
        <v>9</v>
      </c>
      <c r="C55" s="1" t="s">
        <v>218</v>
      </c>
      <c r="D55" s="69">
        <v>3</v>
      </c>
      <c r="E55" s="73" t="str">
        <f>VLOOKUP(C55,TabProdLivraison[],2,FALSE)</f>
        <v>Livres</v>
      </c>
      <c r="F55" s="73">
        <f>VLOOKUP(E55,TabDuréeLivraison[],2,FALSE)</f>
        <v>3</v>
      </c>
      <c r="G55" s="70">
        <f t="shared" si="1"/>
        <v>45560</v>
      </c>
      <c r="H55" s="71">
        <f>VLOOKUP(C55,TabProdLivraison[],3,FALSE)</f>
        <v>120</v>
      </c>
      <c r="I55" s="75">
        <f t="shared" si="2"/>
        <v>360</v>
      </c>
    </row>
    <row r="56" spans="1:9" hidden="1" x14ac:dyDescent="0.25">
      <c r="A56" s="74">
        <v>45518</v>
      </c>
      <c r="B56" s="72">
        <f t="shared" si="0"/>
        <v>8</v>
      </c>
      <c r="C56" s="1" t="s">
        <v>221</v>
      </c>
      <c r="D56" s="69">
        <v>1</v>
      </c>
      <c r="E56" s="73" t="str">
        <f>VLOOKUP(C56,TabProdLivraison[],2,FALSE)</f>
        <v>Soin &amp; Beauté</v>
      </c>
      <c r="F56" s="73">
        <f>VLOOKUP(E56,TabDuréeLivraison[],2,FALSE)</f>
        <v>5</v>
      </c>
      <c r="G56" s="70">
        <f t="shared" si="1"/>
        <v>45525</v>
      </c>
      <c r="H56" s="71">
        <f>VLOOKUP(C56,TabProdLivraison[],3,FALSE)</f>
        <v>350</v>
      </c>
      <c r="I56" s="75">
        <f t="shared" si="2"/>
        <v>350</v>
      </c>
    </row>
    <row r="57" spans="1:9" x14ac:dyDescent="0.25">
      <c r="A57" s="74">
        <v>45499</v>
      </c>
      <c r="B57" s="72">
        <f t="shared" si="0"/>
        <v>7</v>
      </c>
      <c r="C57" s="1" t="s">
        <v>212</v>
      </c>
      <c r="D57" s="69">
        <v>4</v>
      </c>
      <c r="E57" s="73" t="str">
        <f>VLOOKUP(C57,TabProdLivraison[],2,FALSE)</f>
        <v>Électroménager</v>
      </c>
      <c r="F57" s="73">
        <f>VLOOKUP(E57,TabDuréeLivraison[],2,FALSE)</f>
        <v>7</v>
      </c>
      <c r="G57" s="70">
        <f t="shared" si="1"/>
        <v>45510</v>
      </c>
      <c r="H57" s="71">
        <f>VLOOKUP(C57,TabProdLivraison[],3,FALSE)</f>
        <v>4500</v>
      </c>
      <c r="I57" s="75">
        <f t="shared" si="2"/>
        <v>18000</v>
      </c>
    </row>
    <row r="58" spans="1:9" hidden="1" x14ac:dyDescent="0.25">
      <c r="A58" s="74">
        <v>45552</v>
      </c>
      <c r="B58" s="72">
        <f t="shared" si="0"/>
        <v>9</v>
      </c>
      <c r="C58" s="1" t="s">
        <v>217</v>
      </c>
      <c r="D58" s="69">
        <v>2</v>
      </c>
      <c r="E58" s="73" t="str">
        <f>VLOOKUP(C58,TabProdLivraison[],2,FALSE)</f>
        <v>Électroménager</v>
      </c>
      <c r="F58" s="73">
        <f>VLOOKUP(E58,TabDuréeLivraison[],2,FALSE)</f>
        <v>7</v>
      </c>
      <c r="G58" s="70">
        <f t="shared" si="1"/>
        <v>45561</v>
      </c>
      <c r="H58" s="71">
        <f>VLOOKUP(C58,TabProdLivraison[],3,FALSE)</f>
        <v>600</v>
      </c>
      <c r="I58" s="75">
        <f t="shared" si="2"/>
        <v>1200</v>
      </c>
    </row>
    <row r="59" spans="1:9" hidden="1" x14ac:dyDescent="0.25">
      <c r="A59" s="74">
        <v>45516</v>
      </c>
      <c r="B59" s="72">
        <f t="shared" si="0"/>
        <v>8</v>
      </c>
      <c r="C59" s="1" t="s">
        <v>220</v>
      </c>
      <c r="D59" s="69">
        <v>3</v>
      </c>
      <c r="E59" s="73" t="str">
        <f>VLOOKUP(C59,TabProdLivraison[],2,FALSE)</f>
        <v>Livres</v>
      </c>
      <c r="F59" s="73">
        <f>VLOOKUP(E59,TabDuréeLivraison[],2,FALSE)</f>
        <v>3</v>
      </c>
      <c r="G59" s="70">
        <f t="shared" si="1"/>
        <v>45519</v>
      </c>
      <c r="H59" s="71">
        <f>VLOOKUP(C59,TabProdLivraison[],3,FALSE)</f>
        <v>100</v>
      </c>
      <c r="I59" s="75">
        <f t="shared" si="2"/>
        <v>300</v>
      </c>
    </row>
    <row r="60" spans="1:9" hidden="1" x14ac:dyDescent="0.25">
      <c r="A60" s="74">
        <v>45451</v>
      </c>
      <c r="B60" s="72">
        <f t="shared" si="0"/>
        <v>6</v>
      </c>
      <c r="C60" s="1" t="s">
        <v>215</v>
      </c>
      <c r="D60" s="69">
        <v>1</v>
      </c>
      <c r="E60" s="73" t="str">
        <f>VLOOKUP(C60,TabProdLivraison[],2,FALSE)</f>
        <v>Électroménager</v>
      </c>
      <c r="F60" s="73">
        <f>VLOOKUP(E60,TabDuréeLivraison[],2,FALSE)</f>
        <v>7</v>
      </c>
      <c r="G60" s="70">
        <f t="shared" si="1"/>
        <v>45461</v>
      </c>
      <c r="H60" s="71">
        <f>VLOOKUP(C60,TabProdLivraison[],3,FALSE)</f>
        <v>1200</v>
      </c>
      <c r="I60" s="75">
        <f t="shared" si="2"/>
        <v>1200</v>
      </c>
    </row>
    <row r="61" spans="1:9" x14ac:dyDescent="0.25">
      <c r="A61" s="74">
        <v>45494</v>
      </c>
      <c r="B61" s="72">
        <f t="shared" si="0"/>
        <v>7</v>
      </c>
      <c r="C61" s="1" t="s">
        <v>219</v>
      </c>
      <c r="D61" s="69">
        <v>2</v>
      </c>
      <c r="E61" s="73" t="str">
        <f>VLOOKUP(C61,TabProdLivraison[],2,FALSE)</f>
        <v>Livres</v>
      </c>
      <c r="F61" s="73">
        <f>VLOOKUP(E61,TabDuréeLivraison[],2,FALSE)</f>
        <v>3</v>
      </c>
      <c r="G61" s="70">
        <f t="shared" si="1"/>
        <v>45497</v>
      </c>
      <c r="H61" s="71">
        <f>VLOOKUP(C61,TabProdLivraison[],3,FALSE)</f>
        <v>150</v>
      </c>
      <c r="I61" s="75">
        <f t="shared" si="2"/>
        <v>300</v>
      </c>
    </row>
    <row r="62" spans="1:9" hidden="1" x14ac:dyDescent="0.25">
      <c r="A62" s="74">
        <v>45533</v>
      </c>
      <c r="B62" s="72">
        <f t="shared" si="0"/>
        <v>8</v>
      </c>
      <c r="C62" s="1" t="s">
        <v>222</v>
      </c>
      <c r="D62" s="69">
        <v>4</v>
      </c>
      <c r="E62" s="73" t="str">
        <f>VLOOKUP(C62,TabProdLivraison[],2,FALSE)</f>
        <v>Soin &amp; Beauté</v>
      </c>
      <c r="F62" s="73">
        <f>VLOOKUP(E62,TabDuréeLivraison[],2,FALSE)</f>
        <v>5</v>
      </c>
      <c r="G62" s="70">
        <f t="shared" si="1"/>
        <v>45540</v>
      </c>
      <c r="H62" s="71">
        <f>VLOOKUP(C62,TabProdLivraison[],3,FALSE)</f>
        <v>80</v>
      </c>
      <c r="I62" s="75">
        <f t="shared" si="2"/>
        <v>320</v>
      </c>
    </row>
    <row r="63" spans="1:9" hidden="1" x14ac:dyDescent="0.25">
      <c r="A63" s="74">
        <v>45543</v>
      </c>
      <c r="B63" s="72">
        <f t="shared" si="0"/>
        <v>9</v>
      </c>
      <c r="C63" s="1" t="s">
        <v>221</v>
      </c>
      <c r="D63" s="69">
        <v>1</v>
      </c>
      <c r="E63" s="73" t="str">
        <f>VLOOKUP(C63,TabProdLivraison[],2,FALSE)</f>
        <v>Soin &amp; Beauté</v>
      </c>
      <c r="F63" s="73">
        <f>VLOOKUP(E63,TabDuréeLivraison[],2,FALSE)</f>
        <v>5</v>
      </c>
      <c r="G63" s="70">
        <f t="shared" si="1"/>
        <v>45548</v>
      </c>
      <c r="H63" s="71">
        <f>VLOOKUP(C63,TabProdLivraison[],3,FALSE)</f>
        <v>350</v>
      </c>
      <c r="I63" s="75">
        <f t="shared" si="2"/>
        <v>350</v>
      </c>
    </row>
    <row r="64" spans="1:9" hidden="1" x14ac:dyDescent="0.25">
      <c r="A64" s="74">
        <v>45453</v>
      </c>
      <c r="B64" s="72">
        <f t="shared" si="0"/>
        <v>6</v>
      </c>
      <c r="C64" s="1" t="s">
        <v>223</v>
      </c>
      <c r="D64" s="69">
        <v>3</v>
      </c>
      <c r="E64" s="73" t="str">
        <f>VLOOKUP(C64,TabProdLivraison[],2,FALSE)</f>
        <v>Soin &amp; Beauté</v>
      </c>
      <c r="F64" s="73">
        <f>VLOOKUP(E64,TabDuréeLivraison[],2,FALSE)</f>
        <v>5</v>
      </c>
      <c r="G64" s="70">
        <f t="shared" si="1"/>
        <v>45460</v>
      </c>
      <c r="H64" s="71">
        <f>VLOOKUP(C64,TabProdLivraison[],3,FALSE)</f>
        <v>250</v>
      </c>
      <c r="I64" s="75">
        <f t="shared" si="2"/>
        <v>750</v>
      </c>
    </row>
    <row r="65" spans="1:9" hidden="1" x14ac:dyDescent="0.25">
      <c r="A65" s="74">
        <v>45527</v>
      </c>
      <c r="B65" s="72">
        <f t="shared" si="0"/>
        <v>8</v>
      </c>
      <c r="C65" s="1" t="s">
        <v>213</v>
      </c>
      <c r="D65" s="69">
        <v>2</v>
      </c>
      <c r="E65" s="73" t="str">
        <f>VLOOKUP(C65,TabProdLivraison[],2,FALSE)</f>
        <v>Électroménager</v>
      </c>
      <c r="F65" s="73">
        <f>VLOOKUP(E65,TabDuréeLivraison[],2,FALSE)</f>
        <v>7</v>
      </c>
      <c r="G65" s="70">
        <f t="shared" si="1"/>
        <v>45538</v>
      </c>
      <c r="H65" s="71">
        <f>VLOOKUP(C65,TabProdLivraison[],3,FALSE)</f>
        <v>3200</v>
      </c>
      <c r="I65" s="75">
        <f t="shared" si="2"/>
        <v>6400</v>
      </c>
    </row>
    <row r="66" spans="1:9" x14ac:dyDescent="0.25">
      <c r="A66" s="74">
        <v>45485</v>
      </c>
      <c r="B66" s="72">
        <f t="shared" si="0"/>
        <v>7</v>
      </c>
      <c r="C66" s="1" t="s">
        <v>218</v>
      </c>
      <c r="D66" s="69">
        <v>2</v>
      </c>
      <c r="E66" s="73" t="str">
        <f>VLOOKUP(C66,TabProdLivraison[],2,FALSE)</f>
        <v>Livres</v>
      </c>
      <c r="F66" s="73">
        <f>VLOOKUP(E66,TabDuréeLivraison[],2,FALSE)</f>
        <v>3</v>
      </c>
      <c r="G66" s="70">
        <f t="shared" si="1"/>
        <v>45490</v>
      </c>
      <c r="H66" s="71">
        <f>VLOOKUP(C66,TabProdLivraison[],3,FALSE)</f>
        <v>120</v>
      </c>
      <c r="I66" s="75">
        <f t="shared" si="2"/>
        <v>240</v>
      </c>
    </row>
    <row r="67" spans="1:9" hidden="1" x14ac:dyDescent="0.25">
      <c r="A67" s="74">
        <v>45559</v>
      </c>
      <c r="B67" s="72">
        <f t="shared" si="0"/>
        <v>9</v>
      </c>
      <c r="C67" s="1" t="s">
        <v>222</v>
      </c>
      <c r="D67" s="69">
        <v>1</v>
      </c>
      <c r="E67" s="73" t="str">
        <f>VLOOKUP(C67,TabProdLivraison[],2,FALSE)</f>
        <v>Soin &amp; Beauté</v>
      </c>
      <c r="F67" s="73">
        <f>VLOOKUP(E67,TabDuréeLivraison[],2,FALSE)</f>
        <v>5</v>
      </c>
      <c r="G67" s="70">
        <f t="shared" si="1"/>
        <v>45566</v>
      </c>
      <c r="H67" s="71">
        <f>VLOOKUP(C67,TabProdLivraison[],3,FALSE)</f>
        <v>80</v>
      </c>
      <c r="I67" s="75">
        <f t="shared" si="2"/>
        <v>80</v>
      </c>
    </row>
    <row r="68" spans="1:9" x14ac:dyDescent="0.25">
      <c r="A68" s="74">
        <v>45481</v>
      </c>
      <c r="B68" s="72">
        <f t="shared" si="0"/>
        <v>7</v>
      </c>
      <c r="C68" s="1" t="s">
        <v>220</v>
      </c>
      <c r="D68" s="69">
        <v>3</v>
      </c>
      <c r="E68" s="73" t="str">
        <f>VLOOKUP(C68,TabProdLivraison[],2,FALSE)</f>
        <v>Livres</v>
      </c>
      <c r="F68" s="73">
        <f>VLOOKUP(E68,TabDuréeLivraison[],2,FALSE)</f>
        <v>3</v>
      </c>
      <c r="G68" s="70">
        <f t="shared" si="1"/>
        <v>45484</v>
      </c>
      <c r="H68" s="71">
        <f>VLOOKUP(C68,TabProdLivraison[],3,FALSE)</f>
        <v>100</v>
      </c>
      <c r="I68" s="75">
        <f t="shared" si="2"/>
        <v>300</v>
      </c>
    </row>
    <row r="69" spans="1:9" hidden="1" x14ac:dyDescent="0.25">
      <c r="A69" s="74">
        <v>45457</v>
      </c>
      <c r="B69" s="72">
        <f t="shared" ref="B69:B101" si="3">MONTH(A69)</f>
        <v>6</v>
      </c>
      <c r="C69" s="1" t="s">
        <v>212</v>
      </c>
      <c r="D69" s="69">
        <v>2</v>
      </c>
      <c r="E69" s="73" t="str">
        <f>VLOOKUP(C69,TabProdLivraison[],2,FALSE)</f>
        <v>Électroménager</v>
      </c>
      <c r="F69" s="73">
        <f>VLOOKUP(E69,TabDuréeLivraison[],2,FALSE)</f>
        <v>7</v>
      </c>
      <c r="G69" s="70">
        <f t="shared" ref="G69:G101" si="4">WORKDAY(A69,F69)</f>
        <v>45468</v>
      </c>
      <c r="H69" s="71">
        <f>VLOOKUP(C69,TabProdLivraison[],3,FALSE)</f>
        <v>4500</v>
      </c>
      <c r="I69" s="75">
        <f t="shared" ref="I69:I101" si="5">D69*H69</f>
        <v>9000</v>
      </c>
    </row>
    <row r="70" spans="1:9" hidden="1" x14ac:dyDescent="0.25">
      <c r="A70" s="74">
        <v>45506</v>
      </c>
      <c r="B70" s="72">
        <f t="shared" si="3"/>
        <v>8</v>
      </c>
      <c r="C70" s="1" t="s">
        <v>219</v>
      </c>
      <c r="D70" s="69">
        <v>4</v>
      </c>
      <c r="E70" s="73" t="str">
        <f>VLOOKUP(C70,TabProdLivraison[],2,FALSE)</f>
        <v>Livres</v>
      </c>
      <c r="F70" s="73">
        <f>VLOOKUP(E70,TabDuréeLivraison[],2,FALSE)</f>
        <v>3</v>
      </c>
      <c r="G70" s="70">
        <f t="shared" si="4"/>
        <v>45511</v>
      </c>
      <c r="H70" s="71">
        <f>VLOOKUP(C70,TabProdLivraison[],3,FALSE)</f>
        <v>150</v>
      </c>
      <c r="I70" s="75">
        <f t="shared" si="5"/>
        <v>600</v>
      </c>
    </row>
    <row r="71" spans="1:9" x14ac:dyDescent="0.25">
      <c r="A71" s="74">
        <v>45502</v>
      </c>
      <c r="B71" s="72">
        <f t="shared" si="3"/>
        <v>7</v>
      </c>
      <c r="C71" s="1" t="s">
        <v>221</v>
      </c>
      <c r="D71" s="69">
        <v>1</v>
      </c>
      <c r="E71" s="73" t="str">
        <f>VLOOKUP(C71,TabProdLivraison[],2,FALSE)</f>
        <v>Soin &amp; Beauté</v>
      </c>
      <c r="F71" s="73">
        <f>VLOOKUP(E71,TabDuréeLivraison[],2,FALSE)</f>
        <v>5</v>
      </c>
      <c r="G71" s="70">
        <f t="shared" si="4"/>
        <v>45509</v>
      </c>
      <c r="H71" s="71">
        <f>VLOOKUP(C71,TabProdLivraison[],3,FALSE)</f>
        <v>350</v>
      </c>
      <c r="I71" s="75">
        <f t="shared" si="5"/>
        <v>350</v>
      </c>
    </row>
    <row r="72" spans="1:9" hidden="1" x14ac:dyDescent="0.25">
      <c r="A72" s="74">
        <v>45561</v>
      </c>
      <c r="B72" s="72">
        <f t="shared" si="3"/>
        <v>9</v>
      </c>
      <c r="C72" s="1" t="s">
        <v>215</v>
      </c>
      <c r="D72" s="69">
        <v>3</v>
      </c>
      <c r="E72" s="73" t="str">
        <f>VLOOKUP(C72,TabProdLivraison[],2,FALSE)</f>
        <v>Électroménager</v>
      </c>
      <c r="F72" s="73">
        <f>VLOOKUP(E72,TabDuréeLivraison[],2,FALSE)</f>
        <v>7</v>
      </c>
      <c r="G72" s="70">
        <f t="shared" si="4"/>
        <v>45572</v>
      </c>
      <c r="H72" s="71">
        <f>VLOOKUP(C72,TabProdLivraison[],3,FALSE)</f>
        <v>1200</v>
      </c>
      <c r="I72" s="75">
        <f t="shared" si="5"/>
        <v>3600</v>
      </c>
    </row>
    <row r="73" spans="1:9" hidden="1" x14ac:dyDescent="0.25">
      <c r="A73" s="74">
        <v>45465</v>
      </c>
      <c r="B73" s="72">
        <f t="shared" si="3"/>
        <v>6</v>
      </c>
      <c r="C73" s="1" t="s">
        <v>218</v>
      </c>
      <c r="D73" s="69">
        <v>2</v>
      </c>
      <c r="E73" s="73" t="str">
        <f>VLOOKUP(C73,TabProdLivraison[],2,FALSE)</f>
        <v>Livres</v>
      </c>
      <c r="F73" s="73">
        <f>VLOOKUP(E73,TabDuréeLivraison[],2,FALSE)</f>
        <v>3</v>
      </c>
      <c r="G73" s="70">
        <f t="shared" si="4"/>
        <v>45469</v>
      </c>
      <c r="H73" s="71">
        <f>VLOOKUP(C73,TabProdLivraison[],3,FALSE)</f>
        <v>120</v>
      </c>
      <c r="I73" s="75">
        <f t="shared" si="5"/>
        <v>240</v>
      </c>
    </row>
    <row r="74" spans="1:9" x14ac:dyDescent="0.25">
      <c r="A74" s="74">
        <v>45489</v>
      </c>
      <c r="B74" s="72">
        <f t="shared" si="3"/>
        <v>7</v>
      </c>
      <c r="C74" s="1" t="s">
        <v>223</v>
      </c>
      <c r="D74" s="69">
        <v>4</v>
      </c>
      <c r="E74" s="73" t="str">
        <f>VLOOKUP(C74,TabProdLivraison[],2,FALSE)</f>
        <v>Soin &amp; Beauté</v>
      </c>
      <c r="F74" s="73">
        <f>VLOOKUP(E74,TabDuréeLivraison[],2,FALSE)</f>
        <v>5</v>
      </c>
      <c r="G74" s="70">
        <f t="shared" si="4"/>
        <v>45496</v>
      </c>
      <c r="H74" s="71">
        <f>VLOOKUP(C74,TabProdLivraison[],3,FALSE)</f>
        <v>250</v>
      </c>
      <c r="I74" s="75">
        <f t="shared" si="5"/>
        <v>1000</v>
      </c>
    </row>
    <row r="75" spans="1:9" hidden="1" x14ac:dyDescent="0.25">
      <c r="A75" s="74">
        <v>45513</v>
      </c>
      <c r="B75" s="72">
        <f t="shared" si="3"/>
        <v>8</v>
      </c>
      <c r="C75" s="1" t="s">
        <v>213</v>
      </c>
      <c r="D75" s="69">
        <v>1</v>
      </c>
      <c r="E75" s="73" t="str">
        <f>VLOOKUP(C75,TabProdLivraison[],2,FALSE)</f>
        <v>Électroménager</v>
      </c>
      <c r="F75" s="73">
        <f>VLOOKUP(E75,TabDuréeLivraison[],2,FALSE)</f>
        <v>7</v>
      </c>
      <c r="G75" s="70">
        <f t="shared" si="4"/>
        <v>45524</v>
      </c>
      <c r="H75" s="71">
        <f>VLOOKUP(C75,TabProdLivraison[],3,FALSE)</f>
        <v>3200</v>
      </c>
      <c r="I75" s="75">
        <f t="shared" si="5"/>
        <v>3200</v>
      </c>
    </row>
    <row r="76" spans="1:9" hidden="1" x14ac:dyDescent="0.25">
      <c r="A76" s="74">
        <v>45548</v>
      </c>
      <c r="B76" s="72">
        <f t="shared" si="3"/>
        <v>9</v>
      </c>
      <c r="C76" s="1" t="s">
        <v>222</v>
      </c>
      <c r="D76" s="69">
        <v>3</v>
      </c>
      <c r="E76" s="73" t="str">
        <f>VLOOKUP(C76,TabProdLivraison[],2,FALSE)</f>
        <v>Soin &amp; Beauté</v>
      </c>
      <c r="F76" s="73">
        <f>VLOOKUP(E76,TabDuréeLivraison[],2,FALSE)</f>
        <v>5</v>
      </c>
      <c r="G76" s="70">
        <f t="shared" si="4"/>
        <v>45555</v>
      </c>
      <c r="H76" s="71">
        <f>VLOOKUP(C76,TabProdLivraison[],3,FALSE)</f>
        <v>80</v>
      </c>
      <c r="I76" s="75">
        <f t="shared" si="5"/>
        <v>240</v>
      </c>
    </row>
    <row r="77" spans="1:9" hidden="1" x14ac:dyDescent="0.25">
      <c r="A77" s="74">
        <v>45448</v>
      </c>
      <c r="B77" s="72">
        <f t="shared" si="3"/>
        <v>6</v>
      </c>
      <c r="C77" s="1" t="s">
        <v>212</v>
      </c>
      <c r="D77" s="69">
        <v>2</v>
      </c>
      <c r="E77" s="73" t="str">
        <f>VLOOKUP(C77,TabProdLivraison[],2,FALSE)</f>
        <v>Électroménager</v>
      </c>
      <c r="F77" s="73">
        <f>VLOOKUP(E77,TabDuréeLivraison[],2,FALSE)</f>
        <v>7</v>
      </c>
      <c r="G77" s="70">
        <f t="shared" si="4"/>
        <v>45457</v>
      </c>
      <c r="H77" s="71">
        <f>VLOOKUP(C77,TabProdLivraison[],3,FALSE)</f>
        <v>4500</v>
      </c>
      <c r="I77" s="75">
        <f t="shared" si="5"/>
        <v>9000</v>
      </c>
    </row>
    <row r="78" spans="1:9" x14ac:dyDescent="0.25">
      <c r="A78" s="74">
        <v>45496</v>
      </c>
      <c r="B78" s="72">
        <f t="shared" si="3"/>
        <v>7</v>
      </c>
      <c r="C78" s="1" t="s">
        <v>218</v>
      </c>
      <c r="D78" s="69">
        <v>1</v>
      </c>
      <c r="E78" s="73" t="str">
        <f>VLOOKUP(C78,TabProdLivraison[],2,FALSE)</f>
        <v>Livres</v>
      </c>
      <c r="F78" s="73">
        <f>VLOOKUP(E78,TabDuréeLivraison[],2,FALSE)</f>
        <v>3</v>
      </c>
      <c r="G78" s="70">
        <f t="shared" si="4"/>
        <v>45499</v>
      </c>
      <c r="H78" s="71">
        <f>VLOOKUP(C78,TabProdLivraison[],3,FALSE)</f>
        <v>120</v>
      </c>
      <c r="I78" s="75">
        <f t="shared" si="5"/>
        <v>120</v>
      </c>
    </row>
    <row r="79" spans="1:9" hidden="1" x14ac:dyDescent="0.25">
      <c r="A79" s="74">
        <v>45564</v>
      </c>
      <c r="B79" s="72">
        <f t="shared" si="3"/>
        <v>9</v>
      </c>
      <c r="C79" s="1" t="s">
        <v>217</v>
      </c>
      <c r="D79" s="69">
        <v>4</v>
      </c>
      <c r="E79" s="73" t="str">
        <f>VLOOKUP(C79,TabProdLivraison[],2,FALSE)</f>
        <v>Électroménager</v>
      </c>
      <c r="F79" s="73">
        <f>VLOOKUP(E79,TabDuréeLivraison[],2,FALSE)</f>
        <v>7</v>
      </c>
      <c r="G79" s="70">
        <f t="shared" si="4"/>
        <v>45573</v>
      </c>
      <c r="H79" s="71">
        <f>VLOOKUP(C79,TabProdLivraison[],3,FALSE)</f>
        <v>600</v>
      </c>
      <c r="I79" s="75">
        <f t="shared" si="5"/>
        <v>2400</v>
      </c>
    </row>
    <row r="80" spans="1:9" hidden="1" x14ac:dyDescent="0.25">
      <c r="A80" s="74">
        <v>45459</v>
      </c>
      <c r="B80" s="72">
        <f t="shared" si="3"/>
        <v>6</v>
      </c>
      <c r="C80" s="1" t="s">
        <v>220</v>
      </c>
      <c r="D80" s="69">
        <v>2</v>
      </c>
      <c r="E80" s="73" t="str">
        <f>VLOOKUP(C80,TabProdLivraison[],2,FALSE)</f>
        <v>Livres</v>
      </c>
      <c r="F80" s="73">
        <f>VLOOKUP(E80,TabDuréeLivraison[],2,FALSE)</f>
        <v>3</v>
      </c>
      <c r="G80" s="70">
        <f t="shared" si="4"/>
        <v>45462</v>
      </c>
      <c r="H80" s="71">
        <f>VLOOKUP(C80,TabProdLivraison[],3,FALSE)</f>
        <v>100</v>
      </c>
      <c r="I80" s="75">
        <f t="shared" si="5"/>
        <v>200</v>
      </c>
    </row>
    <row r="81" spans="1:9" hidden="1" x14ac:dyDescent="0.25">
      <c r="A81" s="74">
        <v>45526</v>
      </c>
      <c r="B81" s="72">
        <f t="shared" si="3"/>
        <v>8</v>
      </c>
      <c r="C81" s="1" t="s">
        <v>221</v>
      </c>
      <c r="D81" s="69">
        <v>3</v>
      </c>
      <c r="E81" s="73" t="str">
        <f>VLOOKUP(C81,TabProdLivraison[],2,FALSE)</f>
        <v>Soin &amp; Beauté</v>
      </c>
      <c r="F81" s="73">
        <f>VLOOKUP(E81,TabDuréeLivraison[],2,FALSE)</f>
        <v>5</v>
      </c>
      <c r="G81" s="70">
        <f t="shared" si="4"/>
        <v>45533</v>
      </c>
      <c r="H81" s="71">
        <f>VLOOKUP(C81,TabProdLivraison[],3,FALSE)</f>
        <v>350</v>
      </c>
      <c r="I81" s="75">
        <f t="shared" si="5"/>
        <v>1050</v>
      </c>
    </row>
    <row r="82" spans="1:9" x14ac:dyDescent="0.25">
      <c r="A82" s="74">
        <v>45477</v>
      </c>
      <c r="B82" s="72">
        <f t="shared" si="3"/>
        <v>7</v>
      </c>
      <c r="C82" s="1" t="s">
        <v>215</v>
      </c>
      <c r="D82" s="69">
        <v>1</v>
      </c>
      <c r="E82" s="73" t="str">
        <f>VLOOKUP(C82,TabProdLivraison[],2,FALSE)</f>
        <v>Électroménager</v>
      </c>
      <c r="F82" s="73">
        <f>VLOOKUP(E82,TabDuréeLivraison[],2,FALSE)</f>
        <v>7</v>
      </c>
      <c r="G82" s="70">
        <f t="shared" si="4"/>
        <v>45488</v>
      </c>
      <c r="H82" s="71">
        <f>VLOOKUP(C82,TabProdLivraison[],3,FALSE)</f>
        <v>1200</v>
      </c>
      <c r="I82" s="75">
        <f t="shared" si="5"/>
        <v>1200</v>
      </c>
    </row>
    <row r="83" spans="1:9" hidden="1" x14ac:dyDescent="0.25">
      <c r="A83" s="74">
        <v>45550</v>
      </c>
      <c r="B83" s="72">
        <f t="shared" si="3"/>
        <v>9</v>
      </c>
      <c r="C83" s="1" t="s">
        <v>223</v>
      </c>
      <c r="D83" s="69">
        <v>2</v>
      </c>
      <c r="E83" s="73" t="str">
        <f>VLOOKUP(C83,TabProdLivraison[],2,FALSE)</f>
        <v>Soin &amp; Beauté</v>
      </c>
      <c r="F83" s="73">
        <f>VLOOKUP(E83,TabDuréeLivraison[],2,FALSE)</f>
        <v>5</v>
      </c>
      <c r="G83" s="70">
        <f t="shared" si="4"/>
        <v>45555</v>
      </c>
      <c r="H83" s="71">
        <f>VLOOKUP(C83,TabProdLivraison[],3,FALSE)</f>
        <v>250</v>
      </c>
      <c r="I83" s="75">
        <f t="shared" si="5"/>
        <v>500</v>
      </c>
    </row>
    <row r="84" spans="1:9" x14ac:dyDescent="0.25">
      <c r="A84" s="74">
        <v>45480</v>
      </c>
      <c r="B84" s="72">
        <f t="shared" si="3"/>
        <v>7</v>
      </c>
      <c r="C84" s="1" t="s">
        <v>219</v>
      </c>
      <c r="D84" s="69">
        <v>3</v>
      </c>
      <c r="E84" s="73" t="str">
        <f>VLOOKUP(C84,TabProdLivraison[],2,FALSE)</f>
        <v>Livres</v>
      </c>
      <c r="F84" s="73">
        <f>VLOOKUP(E84,TabDuréeLivraison[],2,FALSE)</f>
        <v>3</v>
      </c>
      <c r="G84" s="70">
        <f t="shared" si="4"/>
        <v>45483</v>
      </c>
      <c r="H84" s="71">
        <f>VLOOKUP(C84,TabProdLivraison[],3,FALSE)</f>
        <v>150</v>
      </c>
      <c r="I84" s="75">
        <f t="shared" si="5"/>
        <v>450</v>
      </c>
    </row>
    <row r="85" spans="1:9" hidden="1" x14ac:dyDescent="0.25">
      <c r="A85" s="74">
        <v>45511</v>
      </c>
      <c r="B85" s="72">
        <f t="shared" si="3"/>
        <v>8</v>
      </c>
      <c r="C85" s="1" t="s">
        <v>222</v>
      </c>
      <c r="D85" s="69">
        <v>4</v>
      </c>
      <c r="E85" s="73" t="str">
        <f>VLOOKUP(C85,TabProdLivraison[],2,FALSE)</f>
        <v>Soin &amp; Beauté</v>
      </c>
      <c r="F85" s="73">
        <f>VLOOKUP(E85,TabDuréeLivraison[],2,FALSE)</f>
        <v>5</v>
      </c>
      <c r="G85" s="70">
        <f t="shared" si="4"/>
        <v>45518</v>
      </c>
      <c r="H85" s="71">
        <f>VLOOKUP(C85,TabProdLivraison[],3,FALSE)</f>
        <v>80</v>
      </c>
      <c r="I85" s="75">
        <f t="shared" si="5"/>
        <v>320</v>
      </c>
    </row>
    <row r="86" spans="1:9" hidden="1" x14ac:dyDescent="0.25">
      <c r="A86" s="74">
        <v>45547</v>
      </c>
      <c r="B86" s="72">
        <f t="shared" si="3"/>
        <v>9</v>
      </c>
      <c r="C86" s="1" t="s">
        <v>213</v>
      </c>
      <c r="D86" s="69">
        <v>2</v>
      </c>
      <c r="E86" s="73" t="str">
        <f>VLOOKUP(C86,TabProdLivraison[],2,FALSE)</f>
        <v>Électroménager</v>
      </c>
      <c r="F86" s="73">
        <f>VLOOKUP(E86,TabDuréeLivraison[],2,FALSE)</f>
        <v>7</v>
      </c>
      <c r="G86" s="70">
        <f t="shared" si="4"/>
        <v>45558</v>
      </c>
      <c r="H86" s="71">
        <f>VLOOKUP(C86,TabProdLivraison[],3,FALSE)</f>
        <v>3200</v>
      </c>
      <c r="I86" s="75">
        <f t="shared" si="5"/>
        <v>6400</v>
      </c>
    </row>
    <row r="87" spans="1:9" x14ac:dyDescent="0.25">
      <c r="A87" s="74">
        <v>45498</v>
      </c>
      <c r="B87" s="72">
        <f t="shared" si="3"/>
        <v>7</v>
      </c>
      <c r="C87" s="1" t="s">
        <v>220</v>
      </c>
      <c r="D87" s="69">
        <v>1</v>
      </c>
      <c r="E87" s="73" t="str">
        <f>VLOOKUP(C87,TabProdLivraison[],2,FALSE)</f>
        <v>Livres</v>
      </c>
      <c r="F87" s="73">
        <f>VLOOKUP(E87,TabDuréeLivraison[],2,FALSE)</f>
        <v>3</v>
      </c>
      <c r="G87" s="70">
        <f t="shared" si="4"/>
        <v>45503</v>
      </c>
      <c r="H87" s="71">
        <f>VLOOKUP(C87,TabProdLivraison[],3,FALSE)</f>
        <v>100</v>
      </c>
      <c r="I87" s="75">
        <f t="shared" si="5"/>
        <v>100</v>
      </c>
    </row>
    <row r="88" spans="1:9" hidden="1" x14ac:dyDescent="0.25">
      <c r="A88" s="74">
        <v>45454</v>
      </c>
      <c r="B88" s="72">
        <f t="shared" si="3"/>
        <v>6</v>
      </c>
      <c r="C88" s="1" t="s">
        <v>212</v>
      </c>
      <c r="D88" s="69">
        <v>3</v>
      </c>
      <c r="E88" s="73" t="str">
        <f>VLOOKUP(C88,TabProdLivraison[],2,FALSE)</f>
        <v>Électroménager</v>
      </c>
      <c r="F88" s="73">
        <f>VLOOKUP(E88,TabDuréeLivraison[],2,FALSE)</f>
        <v>7</v>
      </c>
      <c r="G88" s="70">
        <f t="shared" si="4"/>
        <v>45463</v>
      </c>
      <c r="H88" s="71">
        <f>VLOOKUP(C88,TabProdLivraison[],3,FALSE)</f>
        <v>4500</v>
      </c>
      <c r="I88" s="75">
        <f t="shared" si="5"/>
        <v>13500</v>
      </c>
    </row>
    <row r="89" spans="1:9" hidden="1" x14ac:dyDescent="0.25">
      <c r="A89" s="74">
        <v>45532</v>
      </c>
      <c r="B89" s="72">
        <f t="shared" si="3"/>
        <v>8</v>
      </c>
      <c r="C89" s="1" t="s">
        <v>217</v>
      </c>
      <c r="D89" s="69">
        <v>2</v>
      </c>
      <c r="E89" s="73" t="str">
        <f>VLOOKUP(C89,TabProdLivraison[],2,FALSE)</f>
        <v>Électroménager</v>
      </c>
      <c r="F89" s="73">
        <f>VLOOKUP(E89,TabDuréeLivraison[],2,FALSE)</f>
        <v>7</v>
      </c>
      <c r="G89" s="70">
        <f t="shared" si="4"/>
        <v>45541</v>
      </c>
      <c r="H89" s="71">
        <f>VLOOKUP(C89,TabProdLivraison[],3,FALSE)</f>
        <v>600</v>
      </c>
      <c r="I89" s="75">
        <f t="shared" si="5"/>
        <v>1200</v>
      </c>
    </row>
    <row r="90" spans="1:9" hidden="1" x14ac:dyDescent="0.25">
      <c r="A90" s="74">
        <v>45447</v>
      </c>
      <c r="B90" s="72">
        <f t="shared" si="3"/>
        <v>6</v>
      </c>
      <c r="C90" s="1" t="s">
        <v>221</v>
      </c>
      <c r="D90" s="69">
        <v>4</v>
      </c>
      <c r="E90" s="73" t="str">
        <f>VLOOKUP(C90,TabProdLivraison[],2,FALSE)</f>
        <v>Soin &amp; Beauté</v>
      </c>
      <c r="F90" s="73">
        <f>VLOOKUP(E90,TabDuréeLivraison[],2,FALSE)</f>
        <v>5</v>
      </c>
      <c r="G90" s="70">
        <f t="shared" si="4"/>
        <v>45454</v>
      </c>
      <c r="H90" s="71">
        <f>VLOOKUP(C90,TabProdLivraison[],3,FALSE)</f>
        <v>350</v>
      </c>
      <c r="I90" s="75">
        <f t="shared" si="5"/>
        <v>1400</v>
      </c>
    </row>
    <row r="91" spans="1:9" hidden="1" x14ac:dyDescent="0.25">
      <c r="A91" s="74">
        <v>45551</v>
      </c>
      <c r="B91" s="72">
        <f t="shared" si="3"/>
        <v>9</v>
      </c>
      <c r="C91" s="1" t="s">
        <v>219</v>
      </c>
      <c r="D91" s="69">
        <v>1</v>
      </c>
      <c r="E91" s="73" t="str">
        <f>VLOOKUP(C91,TabProdLivraison[],2,FALSE)</f>
        <v>Livres</v>
      </c>
      <c r="F91" s="73">
        <f>VLOOKUP(E91,TabDuréeLivraison[],2,FALSE)</f>
        <v>3</v>
      </c>
      <c r="G91" s="70">
        <f t="shared" si="4"/>
        <v>45554</v>
      </c>
      <c r="H91" s="71">
        <f>VLOOKUP(C91,TabProdLivraison[],3,FALSE)</f>
        <v>150</v>
      </c>
      <c r="I91" s="75">
        <f t="shared" si="5"/>
        <v>150</v>
      </c>
    </row>
    <row r="92" spans="1:9" hidden="1" x14ac:dyDescent="0.25">
      <c r="A92" s="74">
        <v>45521</v>
      </c>
      <c r="B92" s="72">
        <f t="shared" si="3"/>
        <v>8</v>
      </c>
      <c r="C92" s="1" t="s">
        <v>218</v>
      </c>
      <c r="D92" s="69">
        <v>2</v>
      </c>
      <c r="E92" s="73" t="str">
        <f>VLOOKUP(C92,TabProdLivraison[],2,FALSE)</f>
        <v>Livres</v>
      </c>
      <c r="F92" s="73">
        <f>VLOOKUP(E92,TabDuréeLivraison[],2,FALSE)</f>
        <v>3</v>
      </c>
      <c r="G92" s="70">
        <f t="shared" si="4"/>
        <v>45525</v>
      </c>
      <c r="H92" s="71">
        <f>VLOOKUP(C92,TabProdLivraison[],3,FALSE)</f>
        <v>120</v>
      </c>
      <c r="I92" s="75">
        <f t="shared" si="5"/>
        <v>240</v>
      </c>
    </row>
    <row r="93" spans="1:9" x14ac:dyDescent="0.25">
      <c r="A93" s="74">
        <v>45500</v>
      </c>
      <c r="B93" s="72">
        <f t="shared" si="3"/>
        <v>7</v>
      </c>
      <c r="C93" s="1" t="s">
        <v>223</v>
      </c>
      <c r="D93" s="69">
        <v>3</v>
      </c>
      <c r="E93" s="73" t="str">
        <f>VLOOKUP(C93,TabProdLivraison[],2,FALSE)</f>
        <v>Soin &amp; Beauté</v>
      </c>
      <c r="F93" s="73">
        <f>VLOOKUP(E93,TabDuréeLivraison[],2,FALSE)</f>
        <v>5</v>
      </c>
      <c r="G93" s="70">
        <f t="shared" si="4"/>
        <v>45506</v>
      </c>
      <c r="H93" s="71">
        <f>VLOOKUP(C93,TabProdLivraison[],3,FALSE)</f>
        <v>250</v>
      </c>
      <c r="I93" s="75">
        <f t="shared" si="5"/>
        <v>750</v>
      </c>
    </row>
    <row r="94" spans="1:9" hidden="1" x14ac:dyDescent="0.25">
      <c r="A94" s="74">
        <v>45553</v>
      </c>
      <c r="B94" s="72">
        <f t="shared" si="3"/>
        <v>9</v>
      </c>
      <c r="C94" s="1" t="s">
        <v>215</v>
      </c>
      <c r="D94" s="69">
        <v>1</v>
      </c>
      <c r="E94" s="73" t="str">
        <f>VLOOKUP(C94,TabProdLivraison[],2,FALSE)</f>
        <v>Électroménager</v>
      </c>
      <c r="F94" s="73">
        <f>VLOOKUP(E94,TabDuréeLivraison[],2,FALSE)</f>
        <v>7</v>
      </c>
      <c r="G94" s="70">
        <f t="shared" si="4"/>
        <v>45562</v>
      </c>
      <c r="H94" s="71">
        <f>VLOOKUP(C94,TabProdLivraison[],3,FALSE)</f>
        <v>1200</v>
      </c>
      <c r="I94" s="75">
        <f t="shared" si="5"/>
        <v>1200</v>
      </c>
    </row>
    <row r="95" spans="1:9" x14ac:dyDescent="0.25">
      <c r="A95" s="74">
        <v>45487</v>
      </c>
      <c r="B95" s="72">
        <f t="shared" si="3"/>
        <v>7</v>
      </c>
      <c r="C95" s="1" t="s">
        <v>213</v>
      </c>
      <c r="D95" s="69">
        <v>3</v>
      </c>
      <c r="E95" s="73" t="str">
        <f>VLOOKUP(C95,TabProdLivraison[],2,FALSE)</f>
        <v>Électroménager</v>
      </c>
      <c r="F95" s="73">
        <f>VLOOKUP(E95,TabDuréeLivraison[],2,FALSE)</f>
        <v>7</v>
      </c>
      <c r="G95" s="70">
        <f t="shared" si="4"/>
        <v>45496</v>
      </c>
      <c r="H95" s="71">
        <f>VLOOKUP(C95,TabProdLivraison[],3,FALSE)</f>
        <v>3200</v>
      </c>
      <c r="I95" s="75">
        <f t="shared" si="5"/>
        <v>9600</v>
      </c>
    </row>
    <row r="96" spans="1:9" hidden="1" x14ac:dyDescent="0.25">
      <c r="A96" s="74">
        <v>45458</v>
      </c>
      <c r="B96" s="72">
        <f t="shared" si="3"/>
        <v>6</v>
      </c>
      <c r="C96" s="1" t="s">
        <v>215</v>
      </c>
      <c r="D96" s="69">
        <v>3</v>
      </c>
      <c r="E96" s="73" t="str">
        <f>VLOOKUP(C96,TabProdLivraison[],2,FALSE)</f>
        <v>Électroménager</v>
      </c>
      <c r="F96" s="73">
        <f>VLOOKUP(E96,TabDuréeLivraison[],2,FALSE)</f>
        <v>7</v>
      </c>
      <c r="G96" s="70">
        <f t="shared" si="4"/>
        <v>45468</v>
      </c>
      <c r="H96" s="71">
        <f>VLOOKUP(C96,TabProdLivraison[],3,FALSE)</f>
        <v>1200</v>
      </c>
      <c r="I96" s="75">
        <f t="shared" si="5"/>
        <v>3600</v>
      </c>
    </row>
    <row r="97" spans="1:9" hidden="1" x14ac:dyDescent="0.25">
      <c r="A97" s="74">
        <v>45465</v>
      </c>
      <c r="B97" s="72">
        <f t="shared" si="3"/>
        <v>6</v>
      </c>
      <c r="C97" s="1" t="s">
        <v>215</v>
      </c>
      <c r="D97" s="69">
        <v>2</v>
      </c>
      <c r="E97" s="73" t="str">
        <f>VLOOKUP(C97,TabProdLivraison[],2,FALSE)</f>
        <v>Électroménager</v>
      </c>
      <c r="F97" s="73">
        <f>VLOOKUP(E97,TabDuréeLivraison[],2,FALSE)</f>
        <v>7</v>
      </c>
      <c r="G97" s="70">
        <f t="shared" si="4"/>
        <v>45475</v>
      </c>
      <c r="H97" s="71">
        <f>VLOOKUP(C97,TabProdLivraison[],3,FALSE)</f>
        <v>1200</v>
      </c>
      <c r="I97" s="75">
        <f t="shared" si="5"/>
        <v>2400</v>
      </c>
    </row>
    <row r="98" spans="1:9" hidden="1" x14ac:dyDescent="0.25">
      <c r="A98" s="74">
        <v>45457</v>
      </c>
      <c r="B98" s="72">
        <f t="shared" si="3"/>
        <v>6</v>
      </c>
      <c r="C98" s="1" t="s">
        <v>222</v>
      </c>
      <c r="D98" s="69">
        <v>1</v>
      </c>
      <c r="E98" s="73" t="str">
        <f>VLOOKUP(C98,TabProdLivraison[],2,FALSE)</f>
        <v>Soin &amp; Beauté</v>
      </c>
      <c r="F98" s="73">
        <f>VLOOKUP(E98,TabDuréeLivraison[],2,FALSE)</f>
        <v>5</v>
      </c>
      <c r="G98" s="70">
        <f t="shared" si="4"/>
        <v>45464</v>
      </c>
      <c r="H98" s="71">
        <f>VLOOKUP(C98,TabProdLivraison[],3,FALSE)</f>
        <v>80</v>
      </c>
      <c r="I98" s="75">
        <f t="shared" si="5"/>
        <v>80</v>
      </c>
    </row>
    <row r="99" spans="1:9" hidden="1" x14ac:dyDescent="0.25">
      <c r="A99" s="74">
        <v>45523</v>
      </c>
      <c r="B99" s="72">
        <f t="shared" si="3"/>
        <v>8</v>
      </c>
      <c r="C99" s="1" t="s">
        <v>213</v>
      </c>
      <c r="D99" s="69">
        <v>4</v>
      </c>
      <c r="E99" s="73" t="str">
        <f>VLOOKUP(C99,TabProdLivraison[],2,FALSE)</f>
        <v>Électroménager</v>
      </c>
      <c r="F99" s="73">
        <f>VLOOKUP(E99,TabDuréeLivraison[],2,FALSE)</f>
        <v>7</v>
      </c>
      <c r="G99" s="70">
        <f t="shared" si="4"/>
        <v>45532</v>
      </c>
      <c r="H99" s="71">
        <f>VLOOKUP(C99,TabProdLivraison[],3,FALSE)</f>
        <v>3200</v>
      </c>
      <c r="I99" s="75">
        <f t="shared" si="5"/>
        <v>12800</v>
      </c>
    </row>
    <row r="100" spans="1:9" hidden="1" x14ac:dyDescent="0.25">
      <c r="A100" s="74">
        <v>45538</v>
      </c>
      <c r="B100" s="72">
        <f t="shared" si="3"/>
        <v>9</v>
      </c>
      <c r="C100" s="1" t="s">
        <v>219</v>
      </c>
      <c r="D100" s="69">
        <v>3</v>
      </c>
      <c r="E100" s="73" t="str">
        <f>VLOOKUP(C100,TabProdLivraison[],2,FALSE)</f>
        <v>Livres</v>
      </c>
      <c r="F100" s="73">
        <f>VLOOKUP(E100,TabDuréeLivraison[],2,FALSE)</f>
        <v>3</v>
      </c>
      <c r="G100" s="70">
        <f t="shared" si="4"/>
        <v>45541</v>
      </c>
      <c r="H100" s="71">
        <f>VLOOKUP(C100,TabProdLivraison[],3,FALSE)</f>
        <v>150</v>
      </c>
      <c r="I100" s="75">
        <f t="shared" si="5"/>
        <v>450</v>
      </c>
    </row>
    <row r="101" spans="1:9" hidden="1" x14ac:dyDescent="0.25">
      <c r="A101" s="79">
        <v>45450</v>
      </c>
      <c r="B101" s="80">
        <f t="shared" si="3"/>
        <v>6</v>
      </c>
      <c r="C101" s="10" t="s">
        <v>218</v>
      </c>
      <c r="D101" s="81">
        <v>1</v>
      </c>
      <c r="E101" s="82" t="str">
        <f>VLOOKUP(C101,TabProdLivraison[],2,FALSE)</f>
        <v>Livres</v>
      </c>
      <c r="F101" s="82">
        <f>VLOOKUP(E101,TabDuréeLivraison[],2,FALSE)</f>
        <v>3</v>
      </c>
      <c r="G101" s="83">
        <f t="shared" si="4"/>
        <v>45455</v>
      </c>
      <c r="H101" s="84">
        <f>VLOOKUP(C101,TabProdLivraison[],3,FALSE)</f>
        <v>120</v>
      </c>
      <c r="I101" s="85">
        <f t="shared" si="5"/>
        <v>120</v>
      </c>
    </row>
    <row r="102" spans="1:9" x14ac:dyDescent="0.25">
      <c r="A102" s="87" t="s">
        <v>227</v>
      </c>
      <c r="B102" s="80"/>
      <c r="C102" s="10"/>
      <c r="D102" s="81"/>
      <c r="E102" s="82"/>
      <c r="F102" s="82"/>
      <c r="G102" s="86"/>
      <c r="H102" s="82"/>
      <c r="I102" s="88">
        <f>SUBTOTAL(109,Tableau2[Total])</f>
        <v>62390</v>
      </c>
    </row>
  </sheetData>
  <mergeCells count="1">
    <mergeCell ref="A1:I1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RECHERCHEV</vt:lpstr>
      <vt:lpstr>Tableau_Produits</vt:lpstr>
      <vt:lpstr>Transactions_Vente</vt:lpstr>
      <vt:lpstr>RECHERCHE_APPROX</vt:lpstr>
      <vt:lpstr>EQUIV_INDEX</vt:lpstr>
      <vt:lpstr>RECHERCHE_EQUIV</vt:lpstr>
      <vt:lpstr>RECHERCHE_INDEX_EQUIV</vt:lpstr>
      <vt:lpstr>SIERREUR</vt:lpstr>
      <vt:lpstr>RECHERCHEH</vt:lpstr>
      <vt:lpstr>Gestion_TEXTE</vt:lpstr>
      <vt:lpstr>DATEDIF</vt:lpstr>
      <vt:lpstr>Tableaux_Livraison</vt:lpstr>
      <vt:lpstr>SERIE.JOUR.OUVRE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2024-11-17T21:58:11Z</dcterms:modified>
</cp:coreProperties>
</file>