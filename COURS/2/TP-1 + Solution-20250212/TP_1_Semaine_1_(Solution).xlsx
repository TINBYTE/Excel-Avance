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TPs Semaines\TP_Semaine_1\TP_1\"/>
    </mc:Choice>
  </mc:AlternateContent>
  <xr:revisionPtr revIDLastSave="0" documentId="13_ncr:1_{4D064382-3BB7-4130-B7D5-15D432D67993}" xr6:coauthVersionLast="47" xr6:coauthVersionMax="47" xr10:uidLastSave="{00000000-0000-0000-0000-000000000000}"/>
  <bookViews>
    <workbookView xWindow="-120" yWindow="-120" windowWidth="20730" windowHeight="11160" tabRatio="794" xr2:uid="{80021993-F5D3-41D7-A830-270A0CE605F8}"/>
  </bookViews>
  <sheets>
    <sheet name="Opérations_Base" sheetId="1" r:id="rId1"/>
    <sheet name="Produit_Somme" sheetId="2" r:id="rId2"/>
    <sheet name="Somme" sheetId="10" r:id="rId3"/>
    <sheet name="Moy_Min_Max" sheetId="3" r:id="rId4"/>
    <sheet name="NB_NBVAL" sheetId="12" r:id="rId5"/>
    <sheet name="Ref_Relative" sheetId="4" r:id="rId6"/>
    <sheet name="Ref_Absolue" sheetId="9" r:id="rId7"/>
    <sheet name="Ref_Mixte" sheetId="13" r:id="rId8"/>
    <sheet name="Tri_Filtrage_Impression" sheetId="17" r:id="rId9"/>
  </sheets>
  <definedNames>
    <definedName name="_xlnm._FilterDatabase" localSheetId="6" hidden="1">Ref_Absolue!$A$5:$E$5</definedName>
    <definedName name="_xlnm._FilterDatabase" localSheetId="5" hidden="1">Ref_Relative!$A$3:$F$3</definedName>
    <definedName name="Segment_Secteur">#N/A</definedName>
    <definedName name="Segment_Ville">#N/A</definedName>
  </definedName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0"/>
        <x14:slicerCache r:id="rId11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3" l="1"/>
  <c r="D7" i="13"/>
  <c r="B8" i="13"/>
  <c r="B9" i="13"/>
  <c r="B10" i="13"/>
  <c r="B7" i="13"/>
  <c r="E7" i="9"/>
  <c r="E8" i="9"/>
  <c r="E9" i="9"/>
  <c r="E10" i="9"/>
  <c r="E11" i="9"/>
  <c r="E12" i="9"/>
  <c r="E13" i="9"/>
  <c r="E14" i="9"/>
  <c r="E6" i="9"/>
  <c r="D7" i="9"/>
  <c r="D8" i="9"/>
  <c r="D9" i="9"/>
  <c r="D10" i="9"/>
  <c r="D11" i="9"/>
  <c r="D12" i="9"/>
  <c r="D13" i="9"/>
  <c r="D14" i="9"/>
  <c r="D6" i="9"/>
  <c r="C14" i="4"/>
  <c r="D14" i="4"/>
  <c r="E14" i="4"/>
  <c r="F14" i="4"/>
  <c r="C15" i="4"/>
  <c r="D15" i="4"/>
  <c r="E15" i="4"/>
  <c r="F15" i="4"/>
  <c r="C16" i="4"/>
  <c r="D16" i="4"/>
  <c r="E16" i="4"/>
  <c r="F16" i="4"/>
  <c r="B16" i="4"/>
  <c r="B15" i="4"/>
  <c r="B14" i="4"/>
  <c r="F5" i="4"/>
  <c r="F6" i="4"/>
  <c r="F7" i="4"/>
  <c r="F8" i="4"/>
  <c r="F9" i="4"/>
  <c r="F10" i="4"/>
  <c r="F11" i="4"/>
  <c r="F12" i="4"/>
  <c r="F4" i="4"/>
  <c r="E5" i="4"/>
  <c r="E6" i="4"/>
  <c r="E7" i="4"/>
  <c r="E8" i="4"/>
  <c r="E9" i="4"/>
  <c r="E10" i="4"/>
  <c r="E11" i="4"/>
  <c r="E12" i="4"/>
  <c r="E4" i="4"/>
  <c r="I15" i="12"/>
  <c r="I14" i="12"/>
  <c r="I13" i="12"/>
  <c r="D15" i="12"/>
  <c r="D14" i="12"/>
  <c r="D13" i="12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B14" i="3"/>
  <c r="B13" i="3"/>
  <c r="B12" i="3"/>
  <c r="B11" i="3"/>
  <c r="F5" i="3"/>
  <c r="F6" i="3"/>
  <c r="F7" i="3"/>
  <c r="F8" i="3"/>
  <c r="F9" i="3"/>
  <c r="F4" i="3"/>
  <c r="C14" i="10"/>
  <c r="D14" i="10"/>
  <c r="E14" i="10"/>
  <c r="F14" i="10"/>
  <c r="G14" i="10"/>
  <c r="H14" i="10"/>
  <c r="I14" i="10"/>
  <c r="J14" i="10"/>
  <c r="B14" i="10"/>
  <c r="J5" i="10"/>
  <c r="J6" i="10"/>
  <c r="J7" i="10"/>
  <c r="J8" i="10"/>
  <c r="J9" i="10"/>
  <c r="J10" i="10"/>
  <c r="J11" i="10"/>
  <c r="J12" i="10"/>
  <c r="J13" i="10"/>
  <c r="J4" i="10"/>
  <c r="I5" i="10"/>
  <c r="I6" i="10"/>
  <c r="I7" i="10"/>
  <c r="I8" i="10"/>
  <c r="I9" i="10"/>
  <c r="I10" i="10"/>
  <c r="I11" i="10"/>
  <c r="I12" i="10"/>
  <c r="I13" i="10"/>
  <c r="I4" i="10"/>
  <c r="H5" i="10"/>
  <c r="H6" i="10"/>
  <c r="H7" i="10"/>
  <c r="H8" i="10"/>
  <c r="H9" i="10"/>
  <c r="H10" i="10"/>
  <c r="H11" i="10"/>
  <c r="H12" i="10"/>
  <c r="H13" i="10"/>
  <c r="H4" i="10"/>
  <c r="D10" i="2"/>
  <c r="D5" i="2"/>
  <c r="D6" i="2"/>
  <c r="D7" i="2"/>
  <c r="D8" i="2"/>
  <c r="D9" i="2"/>
  <c r="D4" i="2"/>
  <c r="D7" i="1"/>
  <c r="D6" i="1"/>
  <c r="D5" i="1"/>
  <c r="D4" i="1"/>
</calcChain>
</file>

<file path=xl/sharedStrings.xml><?xml version="1.0" encoding="utf-8"?>
<sst xmlns="http://schemas.openxmlformats.org/spreadsheetml/2006/main" count="910" uniqueCount="321">
  <si>
    <t>Somme</t>
  </si>
  <si>
    <t>Soustraction</t>
  </si>
  <si>
    <t>Division</t>
  </si>
  <si>
    <t>Multiplication</t>
  </si>
  <si>
    <t>Produit</t>
  </si>
  <si>
    <t>Souris</t>
  </si>
  <si>
    <t>Clavier</t>
  </si>
  <si>
    <t>Ecran</t>
  </si>
  <si>
    <t>Imprimante</t>
  </si>
  <si>
    <t>Baffes</t>
  </si>
  <si>
    <t>Prix</t>
  </si>
  <si>
    <t>Quantité</t>
  </si>
  <si>
    <t>Total</t>
  </si>
  <si>
    <t>Total général</t>
  </si>
  <si>
    <t xml:space="preserve">Contrôle des dépenses </t>
  </si>
  <si>
    <t>Mois</t>
  </si>
  <si>
    <t>Janvier</t>
  </si>
  <si>
    <t>Février</t>
  </si>
  <si>
    <t>Mars</t>
  </si>
  <si>
    <t>Avril</t>
  </si>
  <si>
    <t>Mai</t>
  </si>
  <si>
    <t>Juin</t>
  </si>
  <si>
    <t>Loisirs</t>
  </si>
  <si>
    <t>Education</t>
  </si>
  <si>
    <t>Alimentation</t>
  </si>
  <si>
    <t>Santé</t>
  </si>
  <si>
    <t>Moyenne</t>
  </si>
  <si>
    <t>Maximum</t>
  </si>
  <si>
    <t>Minimum</t>
  </si>
  <si>
    <t>Unité centrale</t>
  </si>
  <si>
    <t>Fonctionnaires</t>
  </si>
  <si>
    <t>Anass</t>
  </si>
  <si>
    <t>Mohamed</t>
  </si>
  <si>
    <t>Sarah</t>
  </si>
  <si>
    <t>Aicha</t>
  </si>
  <si>
    <t>Fatima</t>
  </si>
  <si>
    <t>Gabriel</t>
  </si>
  <si>
    <t>Delphine</t>
  </si>
  <si>
    <t>Yacine</t>
  </si>
  <si>
    <t>Salaire basique</t>
  </si>
  <si>
    <t>Ventes</t>
  </si>
  <si>
    <t>Casablanca</t>
  </si>
  <si>
    <t>Opérande1</t>
  </si>
  <si>
    <t>Opérande2</t>
  </si>
  <si>
    <t>Résultat</t>
  </si>
  <si>
    <t>Opérateur</t>
  </si>
  <si>
    <t>Opérations de Base</t>
  </si>
  <si>
    <t>Gestion de produits</t>
  </si>
  <si>
    <t>Feuille de Commission sur les Ventes</t>
  </si>
  <si>
    <t>Taux Commission</t>
  </si>
  <si>
    <t>Titrit</t>
  </si>
  <si>
    <t>?</t>
  </si>
  <si>
    <t>Ventes du Jour</t>
  </si>
  <si>
    <t>Epicerie</t>
  </si>
  <si>
    <t>Parfumerie</t>
  </si>
  <si>
    <t>Boulangerie</t>
  </si>
  <si>
    <t>Totaux</t>
  </si>
  <si>
    <t>Espèces</t>
  </si>
  <si>
    <t>Carte</t>
  </si>
  <si>
    <t>Total Jour</t>
  </si>
  <si>
    <t>Jours</t>
  </si>
  <si>
    <t>Plage de données</t>
  </si>
  <si>
    <t>Espace</t>
  </si>
  <si>
    <t>Article</t>
  </si>
  <si>
    <t>Lundi</t>
  </si>
  <si>
    <t>Nombre de cellules contenant une valeur numérique</t>
  </si>
  <si>
    <t>Nombre de cellules vides</t>
  </si>
  <si>
    <t>Adam</t>
  </si>
  <si>
    <t>Nombre de cellules contenant une valeur</t>
  </si>
  <si>
    <t>Nom</t>
  </si>
  <si>
    <t>Salaire</t>
  </si>
  <si>
    <t>Ville</t>
  </si>
  <si>
    <t>Date de Naissance</t>
  </si>
  <si>
    <t>Abidjan</t>
  </si>
  <si>
    <t>Paris</t>
  </si>
  <si>
    <t>New York</t>
  </si>
  <si>
    <t>Omar</t>
  </si>
  <si>
    <t>28/09/1993</t>
  </si>
  <si>
    <t>26/06/1982</t>
  </si>
  <si>
    <t>27/09/1965</t>
  </si>
  <si>
    <t>06/11/2000</t>
  </si>
  <si>
    <t>16/09/1995</t>
  </si>
  <si>
    <t>08/12/1965</t>
  </si>
  <si>
    <t>06/09/1964</t>
  </si>
  <si>
    <t>20/02/1997</t>
  </si>
  <si>
    <t>14/07/1972</t>
  </si>
  <si>
    <t>15/01/1969</t>
  </si>
  <si>
    <t>22/01/1993</t>
  </si>
  <si>
    <t>09/11/1988</t>
  </si>
  <si>
    <t>23/12/1963</t>
  </si>
  <si>
    <t>29/11/1986</t>
  </si>
  <si>
    <t>22/07/1974</t>
  </si>
  <si>
    <t>17/10/1987</t>
  </si>
  <si>
    <t>02/09/1991</t>
  </si>
  <si>
    <t>11/02/1985</t>
  </si>
  <si>
    <t>08/08/1970</t>
  </si>
  <si>
    <t>12/09/1974</t>
  </si>
  <si>
    <t>25/10/1989</t>
  </si>
  <si>
    <t>27/08/1995</t>
  </si>
  <si>
    <t>10/06/1966</t>
  </si>
  <si>
    <t>28/01/1977</t>
  </si>
  <si>
    <t>02/04/1985</t>
  </si>
  <si>
    <t>18/10/1963</t>
  </si>
  <si>
    <t>09/11/1975</t>
  </si>
  <si>
    <t>02/02/1974</t>
  </si>
  <si>
    <t>07/11/1993</t>
  </si>
  <si>
    <t>15/04/1980</t>
  </si>
  <si>
    <t>13/03/1987</t>
  </si>
  <si>
    <t>26/01/1984</t>
  </si>
  <si>
    <t>01/02/1974</t>
  </si>
  <si>
    <t>25/06/1971</t>
  </si>
  <si>
    <t>17/01/1971</t>
  </si>
  <si>
    <t>29/08/1968</t>
  </si>
  <si>
    <t>01/01/2000</t>
  </si>
  <si>
    <t>31/01/1998</t>
  </si>
  <si>
    <t>18/08/1967</t>
  </si>
  <si>
    <t>03/09/1987</t>
  </si>
  <si>
    <t>16/07/1985</t>
  </si>
  <si>
    <t>11/09/1982</t>
  </si>
  <si>
    <t>26/10/1992</t>
  </si>
  <si>
    <t>07/05/1984</t>
  </si>
  <si>
    <t>08/06/1964</t>
  </si>
  <si>
    <t>12/12/1989</t>
  </si>
  <si>
    <t>21/08/1975</t>
  </si>
  <si>
    <t>21/05/1991</t>
  </si>
  <si>
    <t>13/02/2002</t>
  </si>
  <si>
    <t>22/11/1976</t>
  </si>
  <si>
    <t>02/02/1995</t>
  </si>
  <si>
    <t>19/04/1988</t>
  </si>
  <si>
    <t>11/02/1979</t>
  </si>
  <si>
    <t>17/06/1970</t>
  </si>
  <si>
    <t>13/09/1985</t>
  </si>
  <si>
    <t>08/01/1996</t>
  </si>
  <si>
    <t>14/06/1979</t>
  </si>
  <si>
    <t>30/11/1996</t>
  </si>
  <si>
    <t>31/10/1977</t>
  </si>
  <si>
    <t>24/09/1968</t>
  </si>
  <si>
    <t>03/01/1972</t>
  </si>
  <si>
    <t>06/10/1982</t>
  </si>
  <si>
    <t>23/08/1977</t>
  </si>
  <si>
    <t>23/09/1988</t>
  </si>
  <si>
    <t>22/12/1968</t>
  </si>
  <si>
    <t>21/04/1978</t>
  </si>
  <si>
    <t>24/01/1985</t>
  </si>
  <si>
    <t>09/03/1999</t>
  </si>
  <si>
    <t>13/12/2000</t>
  </si>
  <si>
    <t>25/11/1990</t>
  </si>
  <si>
    <t>25/09/1977</t>
  </si>
  <si>
    <t>14/06/1989</t>
  </si>
  <si>
    <t>29/01/1979</t>
  </si>
  <si>
    <t>01/09/1974</t>
  </si>
  <si>
    <t>10/11/1989</t>
  </si>
  <si>
    <t>22/03/1980</t>
  </si>
  <si>
    <t>18/04/1990</t>
  </si>
  <si>
    <t>30/01/1976</t>
  </si>
  <si>
    <t>06/04/1975</t>
  </si>
  <si>
    <t>11/11/1967</t>
  </si>
  <si>
    <t>31/05/1976</t>
  </si>
  <si>
    <t>02/01/1985</t>
  </si>
  <si>
    <t>11/02/1967</t>
  </si>
  <si>
    <t>11/05/1987</t>
  </si>
  <si>
    <t>14/08/1968</t>
  </si>
  <si>
    <t>25/03/1972</t>
  </si>
  <si>
    <t>07/06/2002</t>
  </si>
  <si>
    <t>10/09/1984</t>
  </si>
  <si>
    <t>18/09/1972</t>
  </si>
  <si>
    <t>25/10/2000</t>
  </si>
  <si>
    <t>21/05/2002</t>
  </si>
  <si>
    <t>19/02/1972</t>
  </si>
  <si>
    <t>07/01/1973</t>
  </si>
  <si>
    <t>11/05/1986</t>
  </si>
  <si>
    <t>10/05/1989</t>
  </si>
  <si>
    <t>04/02/1983</t>
  </si>
  <si>
    <t>21/08/1969</t>
  </si>
  <si>
    <t>10/04/1999</t>
  </si>
  <si>
    <t>13/01/1995</t>
  </si>
  <si>
    <t>13/09/2000</t>
  </si>
  <si>
    <t>17/06/1994</t>
  </si>
  <si>
    <t>16/08/1966</t>
  </si>
  <si>
    <t>23/07/1980</t>
  </si>
  <si>
    <t>24/04/1981</t>
  </si>
  <si>
    <t>29/09/1983</t>
  </si>
  <si>
    <t>03/06/1997</t>
  </si>
  <si>
    <t>07/03/1991</t>
  </si>
  <si>
    <t>11/01/1964</t>
  </si>
  <si>
    <t>28/06/1965</t>
  </si>
  <si>
    <t>02/11/1979</t>
  </si>
  <si>
    <t>17/07/1972</t>
  </si>
  <si>
    <t>17/07/1971</t>
  </si>
  <si>
    <t>18/07/1969</t>
  </si>
  <si>
    <t>18/09/1964</t>
  </si>
  <si>
    <t>06/01/2002</t>
  </si>
  <si>
    <t>26/06/1974</t>
  </si>
  <si>
    <t>15/01/1970</t>
  </si>
  <si>
    <t>31/07/1965</t>
  </si>
  <si>
    <t>21/12/1991</t>
  </si>
  <si>
    <t>21/04/1993</t>
  </si>
  <si>
    <t>24/07/1976</t>
  </si>
  <si>
    <t>05/06/1982</t>
  </si>
  <si>
    <t>15/11/1981</t>
  </si>
  <si>
    <t>21/09/1967</t>
  </si>
  <si>
    <t>27/04/1965</t>
  </si>
  <si>
    <t>22/05/1979</t>
  </si>
  <si>
    <t>18/03/1975</t>
  </si>
  <si>
    <t>24/11/1987</t>
  </si>
  <si>
    <t>25/08/1998</t>
  </si>
  <si>
    <t>16/05/1966</t>
  </si>
  <si>
    <t>03/07/1984</t>
  </si>
  <si>
    <t>12/03/1989</t>
  </si>
  <si>
    <t>06/02/1991</t>
  </si>
  <si>
    <t>13/01/1980</t>
  </si>
  <si>
    <t>20/06/1998</t>
  </si>
  <si>
    <t>18/10/2001</t>
  </si>
  <si>
    <t>26/08/1987</t>
  </si>
  <si>
    <t>27/10/1977</t>
  </si>
  <si>
    <t>20/06/1965</t>
  </si>
  <si>
    <t>30/09/1969</t>
  </si>
  <si>
    <t>02/04/1990</t>
  </si>
  <si>
    <t>13/09/2002</t>
  </si>
  <si>
    <t>02/04/1983</t>
  </si>
  <si>
    <t>09/01/1993</t>
  </si>
  <si>
    <t>28/09/1977</t>
  </si>
  <si>
    <t>10/07/1964</t>
  </si>
  <si>
    <t>05/10/1976</t>
  </si>
  <si>
    <t>21/07/2001</t>
  </si>
  <si>
    <t>10/01/1991</t>
  </si>
  <si>
    <t>16/10/1989</t>
  </si>
  <si>
    <t>01/04/1975</t>
  </si>
  <si>
    <t>12/03/1967</t>
  </si>
  <si>
    <t>29/05/1988</t>
  </si>
  <si>
    <t>07/12/1972</t>
  </si>
  <si>
    <t>19/02/1992</t>
  </si>
  <si>
    <t>20/10/1993</t>
  </si>
  <si>
    <t>25/01/1989</t>
  </si>
  <si>
    <t>14/08/1976</t>
  </si>
  <si>
    <t>12/08/1989</t>
  </si>
  <si>
    <t>29/11/1969</t>
  </si>
  <si>
    <t>10/03/1990</t>
  </si>
  <si>
    <t>06/02/1977</t>
  </si>
  <si>
    <t>01/11/2000</t>
  </si>
  <si>
    <t>24/01/1987</t>
  </si>
  <si>
    <t>18/11/1981</t>
  </si>
  <si>
    <t>12/07/1969</t>
  </si>
  <si>
    <t>10/03/1981</t>
  </si>
  <si>
    <t>18/06/2000</t>
  </si>
  <si>
    <t>08/03/1983</t>
  </si>
  <si>
    <t>12/08/1988</t>
  </si>
  <si>
    <t>04/08/1984</t>
  </si>
  <si>
    <t>10/05/1974</t>
  </si>
  <si>
    <t>11/12/1968</t>
  </si>
  <si>
    <t>07/11/1972</t>
  </si>
  <si>
    <t>02/03/1991</t>
  </si>
  <si>
    <t>20/12/1984</t>
  </si>
  <si>
    <t>14/04/1976</t>
  </si>
  <si>
    <t>14/03/1998</t>
  </si>
  <si>
    <t>12/10/1968</t>
  </si>
  <si>
    <t>13/01/1998</t>
  </si>
  <si>
    <t>09/08/1976</t>
  </si>
  <si>
    <t>15/08/1986</t>
  </si>
  <si>
    <t>18/09/1979</t>
  </si>
  <si>
    <t>31/01/1992</t>
  </si>
  <si>
    <t>14/08/1979</t>
  </si>
  <si>
    <t>17/04/1996</t>
  </si>
  <si>
    <t>21/12/1977</t>
  </si>
  <si>
    <t>05/06/1965</t>
  </si>
  <si>
    <t>06/02/2000</t>
  </si>
  <si>
    <t>28/09/1969</t>
  </si>
  <si>
    <t>04/12/1988</t>
  </si>
  <si>
    <t>28/06/1988</t>
  </si>
  <si>
    <t>21/06/1994</t>
  </si>
  <si>
    <t>07/08/1987</t>
  </si>
  <si>
    <t>26/12/1990</t>
  </si>
  <si>
    <t>20/01/1991</t>
  </si>
  <si>
    <t>27/05/1967</t>
  </si>
  <si>
    <t>31/07/1986</t>
  </si>
  <si>
    <t>04/01/1995</t>
  </si>
  <si>
    <t>Secteur</t>
  </si>
  <si>
    <t>Informatique</t>
  </si>
  <si>
    <t>Finance</t>
  </si>
  <si>
    <t>Marketing</t>
  </si>
  <si>
    <t>Ressources Humaines</t>
  </si>
  <si>
    <t>Identifiant</t>
  </si>
  <si>
    <t>Montant commission</t>
  </si>
  <si>
    <t>Salaire total</t>
  </si>
  <si>
    <t>Ahmed</t>
  </si>
  <si>
    <t>Amina</t>
  </si>
  <si>
    <t>Khadija</t>
  </si>
  <si>
    <t>Youssef</t>
  </si>
  <si>
    <t>Samira</t>
  </si>
  <si>
    <t>Hassan</t>
  </si>
  <si>
    <t>Mouna</t>
  </si>
  <si>
    <t>Karim</t>
  </si>
  <si>
    <t>Rachida</t>
  </si>
  <si>
    <t>Nabil</t>
  </si>
  <si>
    <t>Layla</t>
  </si>
  <si>
    <t>Abdel</t>
  </si>
  <si>
    <t>Nadia</t>
  </si>
  <si>
    <t>Reda</t>
  </si>
  <si>
    <t>Malika</t>
  </si>
  <si>
    <t>Saad</t>
  </si>
  <si>
    <t>Salma</t>
  </si>
  <si>
    <t>Mehdi</t>
  </si>
  <si>
    <t>Sofia</t>
  </si>
  <si>
    <t>Hakim</t>
  </si>
  <si>
    <t>Siham</t>
  </si>
  <si>
    <t>Rachid</t>
  </si>
  <si>
    <t>Imane</t>
  </si>
  <si>
    <t>Houda</t>
  </si>
  <si>
    <t>Ali</t>
  </si>
  <si>
    <t>Zineb</t>
  </si>
  <si>
    <t>Khalid</t>
  </si>
  <si>
    <t>Leila</t>
  </si>
  <si>
    <t>Tariq</t>
  </si>
  <si>
    <t>Amal</t>
  </si>
  <si>
    <t>Mustapha</t>
  </si>
  <si>
    <t>Hind</t>
  </si>
  <si>
    <t>Mourad</t>
  </si>
  <si>
    <t>Wafa</t>
  </si>
  <si>
    <t>Jamal</t>
  </si>
  <si>
    <t>Asma</t>
  </si>
  <si>
    <t>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</si>
</sst>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(&quot;$&quot;\ * #,##0_);_(&quot;$&quot;\ * \(#,##0\);_(&quot;$&quot;\ * &quot;-&quot;??_);_(@_)"/>
    <numFmt numFmtId="165" formatCode="#,##0.00\ &quot;€&quot;"/>
    <numFmt numFmtId="166" formatCode="m/d/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4"/>
      <color rgb="FFFFFFFF"/>
      <name val="Calibri"/>
      <family val="2"/>
    </font>
    <font>
      <sz val="14"/>
      <name val="Calibri"/>
      <family val="2"/>
    </font>
    <font>
      <b/>
      <sz val="11"/>
      <name val="Calibri"/>
      <family val="2"/>
    </font>
    <font>
      <b/>
      <sz val="16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3" tint="0.39997558519241921"/>
        <bgColor rgb="FF8064A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rgb="FF8064A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rgb="FF8064A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rgb="FF8064A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3" fillId="0" borderId="1" xfId="0" applyFont="1" applyBorder="1"/>
    <xf numFmtId="44" fontId="0" fillId="0" borderId="1" xfId="1" applyFont="1" applyBorder="1"/>
    <xf numFmtId="44" fontId="0" fillId="0" borderId="1" xfId="0" applyNumberFormat="1" applyBorder="1"/>
    <xf numFmtId="0" fontId="3" fillId="4" borderId="1" xfId="0" applyFont="1" applyFill="1" applyBorder="1" applyAlignment="1">
      <alignment horizontal="center" vertical="center"/>
    </xf>
    <xf numFmtId="9" fontId="0" fillId="0" borderId="1" xfId="0" applyNumberFormat="1" applyBorder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indent="1"/>
    </xf>
    <xf numFmtId="0" fontId="3" fillId="0" borderId="1" xfId="0" applyFont="1" applyBorder="1" applyAlignment="1">
      <alignment horizontal="left" indent="1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5" xfId="0" applyFont="1" applyBorder="1"/>
    <xf numFmtId="9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1"/>
    </xf>
    <xf numFmtId="0" fontId="3" fillId="8" borderId="1" xfId="0" applyFont="1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44" fontId="0" fillId="6" borderId="1" xfId="0" applyNumberFormat="1" applyFill="1" applyBorder="1"/>
    <xf numFmtId="9" fontId="0" fillId="6" borderId="1" xfId="2" applyFont="1" applyFill="1" applyBorder="1"/>
    <xf numFmtId="0" fontId="0" fillId="6" borderId="1" xfId="0" applyFill="1" applyBorder="1"/>
    <xf numFmtId="0" fontId="3" fillId="6" borderId="1" xfId="0" applyFont="1" applyFill="1" applyBorder="1" applyAlignment="1">
      <alignment horizontal="right" indent="1"/>
    </xf>
    <xf numFmtId="0" fontId="8" fillId="9" borderId="1" xfId="0" applyFont="1" applyFill="1" applyBorder="1" applyAlignment="1">
      <alignment horizontal="center" vertical="center"/>
    </xf>
    <xf numFmtId="44" fontId="0" fillId="0" borderId="14" xfId="0" applyNumberFormat="1" applyBorder="1"/>
    <xf numFmtId="44" fontId="0" fillId="0" borderId="21" xfId="0" applyNumberFormat="1" applyBorder="1"/>
    <xf numFmtId="44" fontId="0" fillId="0" borderId="22" xfId="0" applyNumberFormat="1" applyBorder="1"/>
    <xf numFmtId="44" fontId="0" fillId="0" borderId="25" xfId="0" applyNumberFormat="1" applyBorder="1"/>
    <xf numFmtId="44" fontId="0" fillId="0" borderId="26" xfId="0" applyNumberFormat="1" applyBorder="1"/>
    <xf numFmtId="44" fontId="0" fillId="0" borderId="17" xfId="0" applyNumberFormat="1" applyBorder="1"/>
    <xf numFmtId="0" fontId="0" fillId="0" borderId="12" xfId="0" applyBorder="1" applyAlignment="1">
      <alignment horizontal="center"/>
    </xf>
    <xf numFmtId="14" fontId="0" fillId="0" borderId="1" xfId="0" applyNumberFormat="1" applyBorder="1"/>
    <xf numFmtId="0" fontId="7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44" fontId="15" fillId="12" borderId="14" xfId="0" applyNumberFormat="1" applyFont="1" applyFill="1" applyBorder="1" applyAlignment="1">
      <alignment horizontal="center" vertical="center"/>
    </xf>
    <xf numFmtId="44" fontId="15" fillId="12" borderId="18" xfId="0" applyNumberFormat="1" applyFont="1" applyFill="1" applyBorder="1" applyAlignment="1">
      <alignment horizontal="center" vertical="center"/>
    </xf>
    <xf numFmtId="44" fontId="12" fillId="12" borderId="1" xfId="0" applyNumberFormat="1" applyFont="1" applyFill="1" applyBorder="1" applyAlignment="1">
      <alignment horizontal="center" vertical="center"/>
    </xf>
    <xf numFmtId="164" fontId="10" fillId="13" borderId="14" xfId="0" applyNumberFormat="1" applyFont="1" applyFill="1" applyBorder="1" applyAlignment="1">
      <alignment horizontal="center" vertical="center"/>
    </xf>
    <xf numFmtId="164" fontId="10" fillId="13" borderId="18" xfId="0" applyNumberFormat="1" applyFont="1" applyFill="1" applyBorder="1" applyAlignment="1">
      <alignment horizontal="center" vertical="center"/>
    </xf>
    <xf numFmtId="164" fontId="10" fillId="15" borderId="21" xfId="0" applyNumberFormat="1" applyFont="1" applyFill="1" applyBorder="1" applyAlignment="1">
      <alignment horizontal="center" vertical="center"/>
    </xf>
    <xf numFmtId="164" fontId="10" fillId="15" borderId="22" xfId="0" applyNumberFormat="1" applyFont="1" applyFill="1" applyBorder="1" applyAlignment="1">
      <alignment horizontal="center" vertical="center"/>
    </xf>
    <xf numFmtId="164" fontId="10" fillId="17" borderId="14" xfId="0" applyNumberFormat="1" applyFont="1" applyFill="1" applyBorder="1" applyAlignment="1">
      <alignment horizontal="center" vertical="center"/>
    </xf>
    <xf numFmtId="164" fontId="10" fillId="17" borderId="22" xfId="0" applyNumberFormat="1" applyFont="1" applyFill="1" applyBorder="1" applyAlignment="1">
      <alignment horizontal="center" vertical="center"/>
    </xf>
    <xf numFmtId="164" fontId="10" fillId="19" borderId="21" xfId="0" applyNumberFormat="1" applyFont="1" applyFill="1" applyBorder="1" applyAlignment="1">
      <alignment horizontal="center" vertical="center"/>
    </xf>
    <xf numFmtId="164" fontId="10" fillId="19" borderId="22" xfId="0" applyNumberFormat="1" applyFont="1" applyFill="1" applyBorder="1" applyAlignment="1">
      <alignment horizontal="center" vertical="center"/>
    </xf>
    <xf numFmtId="164" fontId="13" fillId="13" borderId="1" xfId="0" applyNumberFormat="1" applyFont="1" applyFill="1" applyBorder="1" applyAlignment="1">
      <alignment horizontal="center" vertical="center"/>
    </xf>
    <xf numFmtId="44" fontId="0" fillId="21" borderId="1" xfId="0" applyNumberFormat="1" applyFill="1" applyBorder="1"/>
    <xf numFmtId="0" fontId="4" fillId="18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indent="1"/>
    </xf>
    <xf numFmtId="166" fontId="0" fillId="0" borderId="1" xfId="0" applyNumberFormat="1" applyBorder="1" applyAlignment="1">
      <alignment horizontal="left" indent="1"/>
    </xf>
    <xf numFmtId="165" fontId="0" fillId="0" borderId="1" xfId="1" applyNumberFormat="1" applyFont="1" applyBorder="1"/>
    <xf numFmtId="165" fontId="0" fillId="6" borderId="6" xfId="0" applyNumberFormat="1" applyFill="1" applyBorder="1"/>
    <xf numFmtId="0" fontId="0" fillId="0" borderId="11" xfId="0" applyBorder="1" applyAlignment="1">
      <alignment horizontal="right" indent="1"/>
    </xf>
    <xf numFmtId="165" fontId="0" fillId="0" borderId="9" xfId="0" applyNumberFormat="1" applyBorder="1" applyAlignment="1">
      <alignment horizontal="right" indent="1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30" xfId="0" applyBorder="1" applyAlignment="1">
      <alignment horizontal="right" indent="1"/>
    </xf>
    <xf numFmtId="49" fontId="0" fillId="0" borderId="31" xfId="0" applyNumberFormat="1" applyBorder="1" applyAlignment="1">
      <alignment horizontal="left" indent="1"/>
    </xf>
    <xf numFmtId="166" fontId="0" fillId="0" borderId="31" xfId="0" applyNumberFormat="1" applyBorder="1" applyAlignment="1">
      <alignment horizontal="left" indent="1"/>
    </xf>
    <xf numFmtId="165" fontId="0" fillId="0" borderId="32" xfId="0" applyNumberFormat="1" applyBorder="1" applyAlignment="1">
      <alignment horizontal="right" indent="1"/>
    </xf>
    <xf numFmtId="0" fontId="9" fillId="10" borderId="9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0" fontId="13" fillId="13" borderId="14" xfId="0" applyFont="1" applyFill="1" applyBorder="1" applyAlignment="1">
      <alignment horizontal="center" vertical="center"/>
    </xf>
    <xf numFmtId="164" fontId="13" fillId="13" borderId="15" xfId="0" applyNumberFormat="1" applyFont="1" applyFill="1" applyBorder="1" applyAlignment="1">
      <alignment horizontal="center" vertical="center"/>
    </xf>
    <xf numFmtId="0" fontId="14" fillId="14" borderId="16" xfId="0" applyFont="1" applyFill="1" applyBorder="1"/>
    <xf numFmtId="0" fontId="14" fillId="14" borderId="17" xfId="0" applyFont="1" applyFill="1" applyBorder="1"/>
    <xf numFmtId="0" fontId="14" fillId="14" borderId="19" xfId="0" applyFont="1" applyFill="1" applyBorder="1"/>
    <xf numFmtId="0" fontId="14" fillId="14" borderId="20" xfId="0" applyFont="1" applyFill="1" applyBorder="1"/>
    <xf numFmtId="164" fontId="10" fillId="15" borderId="23" xfId="0" applyNumberFormat="1" applyFont="1" applyFill="1" applyBorder="1" applyAlignment="1">
      <alignment horizontal="center" vertical="center"/>
    </xf>
    <xf numFmtId="0" fontId="11" fillId="16" borderId="24" xfId="0" applyFont="1" applyFill="1" applyBorder="1"/>
    <xf numFmtId="164" fontId="10" fillId="17" borderId="19" xfId="0" applyNumberFormat="1" applyFont="1" applyFill="1" applyBorder="1" applyAlignment="1">
      <alignment horizontal="center" vertical="center"/>
    </xf>
    <xf numFmtId="0" fontId="11" fillId="18" borderId="24" xfId="0" applyFont="1" applyFill="1" applyBorder="1"/>
    <xf numFmtId="164" fontId="10" fillId="19" borderId="23" xfId="0" applyNumberFormat="1" applyFont="1" applyFill="1" applyBorder="1" applyAlignment="1">
      <alignment horizontal="center" vertical="center"/>
    </xf>
    <xf numFmtId="0" fontId="11" fillId="20" borderId="24" xfId="0" applyFont="1" applyFill="1" applyBorder="1"/>
    <xf numFmtId="0" fontId="10" fillId="13" borderId="26" xfId="0" applyFont="1" applyFill="1" applyBorder="1" applyAlignment="1">
      <alignment horizontal="center" vertical="center"/>
    </xf>
    <xf numFmtId="0" fontId="10" fillId="13" borderId="27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left"/>
    </xf>
    <xf numFmtId="0" fontId="0" fillId="11" borderId="10" xfId="0" applyFill="1" applyBorder="1" applyAlignment="1">
      <alignment horizontal="left"/>
    </xf>
    <xf numFmtId="0" fontId="0" fillId="11" borderId="11" xfId="0" applyFill="1" applyBorder="1" applyAlignment="1">
      <alignment horizontal="left"/>
    </xf>
    <xf numFmtId="0" fontId="16" fillId="5" borderId="7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</cellXfs>
  <cellStyles count="3">
    <cellStyle name="Monétaire" xfId="1" builtinId="4"/>
    <cellStyle name="Normal" xfId="0" builtinId="0"/>
    <cellStyle name="Pourcentage" xfId="2" builtinId="5"/>
  </cellStyles>
  <dxfs count="11">
    <dxf>
      <numFmt numFmtId="165" formatCode="#,##0.00\ &quot;€&quot;"/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m/d/yyyy;@"/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1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423333</xdr:colOff>
      <xdr:row>4</xdr:row>
      <xdr:rowOff>85610</xdr:rowOff>
    </xdr:from>
    <xdr:to>
      <xdr:col>8</xdr:col>
      <xdr:colOff>566208</xdr:colOff>
      <xdr:row>10</xdr:row>
      <xdr:rowOff>39092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C4B7230-80FB-47DD-9007-43B19FA62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1333" y="1000010"/>
          <a:ext cx="3190875" cy="1198082"/>
        </a:xfrm>
        <a:prstGeom prst="rect">
          <a:avLst/>
        </a:prstGeom>
      </xdr:spPr>
    </xdr:pic>
    <xdr:clientData/>
  </xdr:twoCellAnchor>
  <xdr:twoCellAnchor>
    <xdr:from>
      <xdr:col>4</xdr:col>
      <xdr:colOff>628650</xdr:colOff>
      <xdr:row>0</xdr:row>
      <xdr:rowOff>165100</xdr:rowOff>
    </xdr:from>
    <xdr:to>
      <xdr:col>8</xdr:col>
      <xdr:colOff>363008</xdr:colOff>
      <xdr:row>3</xdr:row>
      <xdr:rowOff>122766</xdr:rowOff>
    </xdr:to>
    <xdr:sp macro="" textlink="">
      <xdr:nvSpPr>
        <xdr:cNvPr id="4" name="ZoneTexte 2">
          <a:extLst>
            <a:ext uri="{FF2B5EF4-FFF2-40B4-BE49-F238E27FC236}">
              <a16:creationId xmlns:a16="http://schemas.microsoft.com/office/drawing/2014/main" id="{9DCFB025-C05D-4136-A5DB-E36EAE9AFA93}"/>
            </a:ext>
          </a:extLst>
        </xdr:cNvPr>
        <xdr:cNvSpPr txBox="1"/>
      </xdr:nvSpPr>
      <xdr:spPr>
        <a:xfrm>
          <a:off x="3676650" y="165100"/>
          <a:ext cx="2782358" cy="630766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200" b="0">
              <a:solidFill>
                <a:srgbClr val="0070C0"/>
              </a:solidFill>
            </a:rPr>
            <a:t>Recopier</a:t>
          </a:r>
          <a:r>
            <a:rPr lang="fr-FR" sz="1200" b="0" baseline="0">
              <a:solidFill>
                <a:srgbClr val="0070C0"/>
              </a:solidFill>
            </a:rPr>
            <a:t> la cellule </a:t>
          </a:r>
          <a:r>
            <a:rPr lang="fr-FR" sz="1200" b="1" baseline="0">
              <a:solidFill>
                <a:srgbClr val="0070C0"/>
              </a:solidFill>
            </a:rPr>
            <a:t>B2</a:t>
          </a:r>
          <a:r>
            <a:rPr lang="fr-FR" sz="1200" b="0" baseline="0">
              <a:solidFill>
                <a:srgbClr val="0070C0"/>
              </a:solidFill>
            </a:rPr>
            <a:t> dans </a:t>
          </a:r>
          <a:r>
            <a:rPr lang="fr-FR" sz="1200" b="1" baseline="0">
              <a:solidFill>
                <a:srgbClr val="0070C0"/>
              </a:solidFill>
            </a:rPr>
            <a:t>B7</a:t>
          </a:r>
          <a:r>
            <a:rPr lang="fr-FR" sz="1200" b="0" baseline="0">
              <a:solidFill>
                <a:srgbClr val="0070C0"/>
              </a:solidFill>
            </a:rPr>
            <a:t>, et fixer ensuite la ligne, la colonne et puis les deux à la fois</a:t>
          </a:r>
          <a:endParaRPr lang="fr-FR" sz="1200" b="0">
            <a:solidFill>
              <a:srgbClr val="0070C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266699</xdr:colOff>
      <xdr:row>1</xdr:row>
      <xdr:rowOff>38099</xdr:rowOff>
    </xdr:from>
    <xdr:to>
      <xdr:col>12</xdr:col>
      <xdr:colOff>438150</xdr:colOff>
      <xdr:row>13</xdr:row>
      <xdr:rowOff>142875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40DFC93-B27D-4301-A0E0-723D06659557}"/>
            </a:ext>
          </a:extLst>
        </xdr:cNvPr>
        <xdr:cNvSpPr txBox="1"/>
      </xdr:nvSpPr>
      <xdr:spPr>
        <a:xfrm>
          <a:off x="7153274" y="314324"/>
          <a:ext cx="4743451" cy="2390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spc="100">
              <a:solidFill>
                <a:schemeClr val="accent1">
                  <a:lumMod val="50000"/>
                </a:schemeClr>
              </a:solidFill>
            </a:rPr>
            <a:t>1-</a:t>
          </a:r>
          <a:r>
            <a:rPr lang="fr-FR" sz="1400" spc="100">
              <a:solidFill>
                <a:schemeClr val="accent1">
                  <a:lumMod val="50000"/>
                </a:schemeClr>
              </a:solidFill>
            </a:rPr>
            <a:t> Trier le Nom des salariés par ordre alphabétique</a:t>
          </a:r>
        </a:p>
        <a:p>
          <a:r>
            <a:rPr lang="fr-FR" sz="1400" b="1" spc="100">
              <a:solidFill>
                <a:schemeClr val="accent1">
                  <a:lumMod val="50000"/>
                </a:schemeClr>
              </a:solidFill>
            </a:rPr>
            <a:t>2-</a:t>
          </a:r>
          <a:r>
            <a:rPr lang="fr-FR" sz="1400" spc="100">
              <a:solidFill>
                <a:schemeClr val="accent1">
                  <a:lumMod val="50000"/>
                </a:schemeClr>
              </a:solidFill>
            </a:rPr>
            <a:t> Créer des filtres pour chaque colonne</a:t>
          </a:r>
        </a:p>
        <a:p>
          <a:r>
            <a:rPr lang="fr-FR" sz="1400" b="1" spc="100" baseline="0">
              <a:solidFill>
                <a:schemeClr val="accent1">
                  <a:lumMod val="50000"/>
                </a:schemeClr>
              </a:solidFill>
            </a:rPr>
            <a:t>3-</a:t>
          </a:r>
          <a:r>
            <a:rPr lang="fr-FR" sz="1400" spc="100" baseline="0">
              <a:solidFill>
                <a:schemeClr val="accent1">
                  <a:lumMod val="50000"/>
                </a:schemeClr>
              </a:solidFill>
            </a:rPr>
            <a:t> Appliquer un tri à deux niveaux (Ville &gt; Nom)</a:t>
          </a:r>
        </a:p>
        <a:p>
          <a:r>
            <a:rPr lang="fr-FR" sz="1400" b="1" spc="100" baseline="0">
              <a:solidFill>
                <a:schemeClr val="accent1">
                  <a:lumMod val="50000"/>
                </a:schemeClr>
              </a:solidFill>
            </a:rPr>
            <a:t>4-</a:t>
          </a:r>
          <a:r>
            <a:rPr lang="fr-FR" sz="1400" spc="100" baseline="0">
              <a:solidFill>
                <a:schemeClr val="accent1">
                  <a:lumMod val="50000"/>
                </a:schemeClr>
              </a:solidFill>
            </a:rPr>
            <a:t> Figer l'entête du tableau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="1" spc="1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5- </a:t>
          </a:r>
          <a:r>
            <a:rPr lang="fr-FR" sz="1400" b="0" spc="1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Transformer</a:t>
          </a:r>
          <a:r>
            <a:rPr lang="fr-FR" sz="1400" b="1" spc="1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</a:t>
          </a:r>
          <a:r>
            <a:rPr lang="fr-FR" sz="1400" spc="1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ces plages de données en un </a:t>
          </a:r>
          <a:r>
            <a:rPr lang="fr-FR" sz="1400" u="sng" spc="1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Tableau Structuré</a:t>
          </a:r>
        </a:p>
        <a:p>
          <a:r>
            <a:rPr lang="fr-FR" sz="1400" b="1" spc="100" baseline="0">
              <a:solidFill>
                <a:schemeClr val="accent1">
                  <a:lumMod val="50000"/>
                </a:schemeClr>
              </a:solidFill>
            </a:rPr>
            <a:t>6-</a:t>
          </a:r>
          <a:r>
            <a:rPr lang="fr-FR" sz="1400" spc="100" baseline="0">
              <a:solidFill>
                <a:schemeClr val="accent1">
                  <a:lumMod val="50000"/>
                </a:schemeClr>
              </a:solidFill>
            </a:rPr>
            <a:t> Ajouter un Total au tableau</a:t>
          </a:r>
        </a:p>
        <a:p>
          <a:r>
            <a:rPr lang="fr-FR" sz="1400" b="1" spc="100" baseline="0">
              <a:solidFill>
                <a:schemeClr val="accent1">
                  <a:lumMod val="50000"/>
                </a:schemeClr>
              </a:solidFill>
            </a:rPr>
            <a:t>7-</a:t>
          </a:r>
          <a:r>
            <a:rPr lang="fr-FR" sz="1400" spc="100" baseline="0">
              <a:solidFill>
                <a:schemeClr val="accent1">
                  <a:lumMod val="50000"/>
                </a:schemeClr>
              </a:solidFill>
            </a:rPr>
            <a:t> Insérer des Segments pour un meilleur Filtrage</a:t>
          </a:r>
        </a:p>
        <a:p>
          <a:r>
            <a:rPr lang="fr-FR" sz="1400" b="1" spc="100">
              <a:solidFill>
                <a:schemeClr val="accent1">
                  <a:lumMod val="50000"/>
                </a:schemeClr>
              </a:solidFill>
            </a:rPr>
            <a:t>8-</a:t>
          </a:r>
          <a:r>
            <a:rPr lang="fr-FR" sz="1400" spc="100">
              <a:solidFill>
                <a:schemeClr val="accent1">
                  <a:lumMod val="50000"/>
                </a:schemeClr>
              </a:solidFill>
            </a:rPr>
            <a:t> Imprimer</a:t>
          </a:r>
          <a:r>
            <a:rPr lang="fr-FR" sz="1400" spc="100" baseline="0">
              <a:solidFill>
                <a:schemeClr val="accent1">
                  <a:lumMod val="50000"/>
                </a:schemeClr>
              </a:solidFill>
            </a:rPr>
            <a:t> le tableau sous format PDF en inserant le Titre, la date actuelle et le numéro de pages</a:t>
          </a:r>
          <a:endParaRPr lang="fr-FR" sz="1400" spc="100">
            <a:solidFill>
              <a:schemeClr val="accent1">
                <a:lumMod val="50000"/>
              </a:schemeClr>
            </a:solidFill>
          </a:endParaRPr>
        </a:p>
      </xdr:txBody>
    </xdr:sp>
    <xdr:clientData fPrintsWithSheet="0"/>
  </xdr:twoCellAnchor>
  <xdr:twoCellAnchor editAs="absolute">
    <xdr:from>
      <xdr:col>7</xdr:col>
      <xdr:colOff>57150</xdr:colOff>
      <xdr:row>14</xdr:row>
      <xdr:rowOff>38100</xdr:rowOff>
    </xdr:from>
    <xdr:to>
      <xdr:col>9</xdr:col>
      <xdr:colOff>361950</xdr:colOff>
      <xdr:row>21</xdr:row>
      <xdr:rowOff>142875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Ville">
              <a:extLst>
                <a:ext uri="{FF2B5EF4-FFF2-40B4-BE49-F238E27FC236}">
                  <a16:creationId xmlns:a16="http://schemas.microsoft.com/office/drawing/2014/main" id="{43C685B1-3459-BC65-857C-28617B69AA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05725" y="2790825"/>
              <a:ext cx="182880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485775</xdr:colOff>
      <xdr:row>14</xdr:row>
      <xdr:rowOff>38100</xdr:rowOff>
    </xdr:from>
    <xdr:to>
      <xdr:col>12</xdr:col>
      <xdr:colOff>28575</xdr:colOff>
      <xdr:row>21</xdr:row>
      <xdr:rowOff>142875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Secteur">
              <a:extLst>
                <a:ext uri="{FF2B5EF4-FFF2-40B4-BE49-F238E27FC236}">
                  <a16:creationId xmlns:a16="http://schemas.microsoft.com/office/drawing/2014/main" id="{1F6B0E1B-F8C6-189E-BA5F-B8429408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cteu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58350" y="2790825"/>
              <a:ext cx="182880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" xr10:uid="{5506BF06-D65B-41E9-92FB-C6110933E8B7}" sourceName="Ville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cteur" xr10:uid="{A375893F-3336-48BD-A81C-5963B778F3CC}" sourceName="Secteur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ille" xr10:uid="{1D95C309-85CA-4CF6-B06A-E822C07F8556}" cache="Segment_Ville" caption="Ville" style="SlicerStyleLight2" rowHeight="241300"/>
  <slicer name="Secteur" xr10:uid="{026853CE-7243-491D-9C9E-3AAAC961BB26}" cache="Segment_Secteur" caption="Secteur" style="SlicerStyleLight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488513-1E2C-4235-A76A-C05E850245A2}" name="Tableau1" displayName="Tableau1" ref="A1:F201" totalsRowShown="0" headerRowDxfId="10" dataDxfId="8" headerRowBorderDxfId="9" tableBorderDxfId="7" totalsRowBorderDxfId="6">
  <autoFilter ref="A1:F201" xr:uid="{43488513-1E2C-4235-A76A-C05E850245A2}"/>
  <sortState xmlns:xlrd2="http://schemas.microsoft.com/office/spreadsheetml/2017/richdata2" ref="A2:F201">
    <sortCondition ref="C2:C201"/>
    <sortCondition ref="B2:B201"/>
  </sortState>
  <tableColumns count="6">
    <tableColumn id="1" xr3:uid="{20C60539-8094-452A-BCE6-9E8E5B68F623}" name="Identifiant" dataDxfId="5"/>
    <tableColumn id="2" xr3:uid="{D0B11EBD-CD6A-447E-81E7-0D525CAC37FB}" name="Nom" dataDxfId="4"/>
    <tableColumn id="3" xr3:uid="{A9CA3062-6657-4FF2-8842-31118C221FC5}" name="Ville" dataDxfId="3"/>
    <tableColumn id="4" xr3:uid="{63F63354-0452-4545-AF6E-453BB08E8B5B}" name="Date de Naissance" dataDxfId="2"/>
    <tableColumn id="5" xr3:uid="{8A3A703C-32A5-4CF4-9A39-99E20E7B07E5}" name="Secteur" dataDxfId="1"/>
    <tableColumn id="6" xr3:uid="{BCE9886A-6C84-4ADA-AED6-2F7FEAD8D4DE}" name="Salair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B7CC-4DB0-424A-AD15-2EB4BF1C3C5F}">
  <dimension ref="A1:D7"/>
  <sheetViews>
    <sheetView tabSelected="1" zoomScale="159" zoomScaleNormal="140" workbookViewId="0">
      <selection sqref="A1:D1"/>
    </sheetView>
  </sheetViews>
  <sheetFormatPr baseColWidth="10" defaultRowHeight="15" x14ac:dyDescent="0.25"/>
  <cols>
    <col min="1" max="1" width="16.42578125" customWidth="1"/>
    <col min="2" max="3" width="11.5703125" customWidth="1"/>
    <col min="4" max="4" width="13.85546875" customWidth="1"/>
  </cols>
  <sheetData>
    <row r="1" spans="1:4" ht="23.25" customHeight="1" x14ac:dyDescent="0.25">
      <c r="A1" s="65" t="s">
        <v>46</v>
      </c>
      <c r="B1" s="66"/>
      <c r="C1" s="66"/>
      <c r="D1" s="67"/>
    </row>
    <row r="2" spans="1:4" ht="11.25" customHeight="1" x14ac:dyDescent="0.25"/>
    <row r="3" spans="1:4" ht="18.75" customHeight="1" x14ac:dyDescent="0.25">
      <c r="A3" s="24" t="s">
        <v>45</v>
      </c>
      <c r="B3" s="24" t="s">
        <v>42</v>
      </c>
      <c r="C3" s="24" t="s">
        <v>43</v>
      </c>
      <c r="D3" s="24" t="s">
        <v>44</v>
      </c>
    </row>
    <row r="4" spans="1:4" x14ac:dyDescent="0.25">
      <c r="A4" s="16" t="s">
        <v>320</v>
      </c>
      <c r="B4" s="8">
        <v>10</v>
      </c>
      <c r="C4" s="8">
        <v>5</v>
      </c>
      <c r="D4" s="23">
        <f>B4+C4</f>
        <v>15</v>
      </c>
    </row>
    <row r="5" spans="1:4" x14ac:dyDescent="0.25">
      <c r="A5" s="16" t="s">
        <v>1</v>
      </c>
      <c r="B5" s="8">
        <v>4</v>
      </c>
      <c r="C5" s="8">
        <v>9</v>
      </c>
      <c r="D5" s="23">
        <f>B5-C5</f>
        <v>-5</v>
      </c>
    </row>
    <row r="6" spans="1:4" x14ac:dyDescent="0.25">
      <c r="A6" s="16" t="s">
        <v>3</v>
      </c>
      <c r="B6" s="8">
        <v>6</v>
      </c>
      <c r="C6" s="8">
        <v>3</v>
      </c>
      <c r="D6" s="23">
        <f>B6*C6</f>
        <v>18</v>
      </c>
    </row>
    <row r="7" spans="1:4" x14ac:dyDescent="0.25">
      <c r="A7" s="16" t="s">
        <v>2</v>
      </c>
      <c r="B7" s="8">
        <v>9</v>
      </c>
      <c r="C7" s="8">
        <v>2</v>
      </c>
      <c r="D7" s="23">
        <f>B7/C7</f>
        <v>4.5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3485-A48E-4BB6-AFAC-F032956199F6}">
  <dimension ref="A1:D10"/>
  <sheetViews>
    <sheetView zoomScale="150" zoomScaleNormal="150" workbookViewId="0">
      <selection sqref="A1:D1"/>
    </sheetView>
  </sheetViews>
  <sheetFormatPr baseColWidth="10" defaultRowHeight="15" x14ac:dyDescent="0.25"/>
  <cols>
    <col min="1" max="1" width="17.85546875" bestFit="1" customWidth="1"/>
    <col min="3" max="3" width="12.5703125" bestFit="1" customWidth="1"/>
    <col min="4" max="4" width="14.28515625" customWidth="1"/>
  </cols>
  <sheetData>
    <row r="1" spans="1:4" ht="24.75" customHeight="1" x14ac:dyDescent="0.25">
      <c r="A1" s="68" t="s">
        <v>47</v>
      </c>
      <c r="B1" s="69"/>
      <c r="C1" s="69"/>
      <c r="D1" s="70"/>
    </row>
    <row r="2" spans="1:4" ht="11.25" customHeight="1" x14ac:dyDescent="0.25"/>
    <row r="3" spans="1:4" ht="20.25" customHeight="1" x14ac:dyDescent="0.25">
      <c r="A3" s="10" t="s">
        <v>4</v>
      </c>
      <c r="B3" s="11" t="s">
        <v>10</v>
      </c>
      <c r="C3" s="11" t="s">
        <v>11</v>
      </c>
      <c r="D3" s="12" t="s">
        <v>12</v>
      </c>
    </row>
    <row r="4" spans="1:4" x14ac:dyDescent="0.25">
      <c r="A4" s="14" t="s">
        <v>5</v>
      </c>
      <c r="B4" s="54">
        <v>120</v>
      </c>
      <c r="C4" s="8">
        <v>3</v>
      </c>
      <c r="D4" s="55">
        <f>B4*C4</f>
        <v>360</v>
      </c>
    </row>
    <row r="5" spans="1:4" x14ac:dyDescent="0.25">
      <c r="A5" s="14" t="s">
        <v>6</v>
      </c>
      <c r="B5" s="54">
        <v>70</v>
      </c>
      <c r="C5" s="8">
        <v>4</v>
      </c>
      <c r="D5" s="55">
        <f t="shared" ref="D5:D9" si="0">B5*C5</f>
        <v>280</v>
      </c>
    </row>
    <row r="6" spans="1:4" x14ac:dyDescent="0.25">
      <c r="A6" s="14" t="s">
        <v>7</v>
      </c>
      <c r="B6" s="54">
        <v>600</v>
      </c>
      <c r="C6" s="8">
        <v>2</v>
      </c>
      <c r="D6" s="55">
        <f t="shared" si="0"/>
        <v>1200</v>
      </c>
    </row>
    <row r="7" spans="1:4" x14ac:dyDescent="0.25">
      <c r="A7" s="14" t="s">
        <v>8</v>
      </c>
      <c r="B7" s="54">
        <v>800</v>
      </c>
      <c r="C7" s="8">
        <v>3</v>
      </c>
      <c r="D7" s="55">
        <f t="shared" si="0"/>
        <v>2400</v>
      </c>
    </row>
    <row r="8" spans="1:4" x14ac:dyDescent="0.25">
      <c r="A8" s="14" t="s">
        <v>9</v>
      </c>
      <c r="B8" s="54">
        <v>250</v>
      </c>
      <c r="C8" s="8">
        <v>4</v>
      </c>
      <c r="D8" s="55">
        <f t="shared" si="0"/>
        <v>1000</v>
      </c>
    </row>
    <row r="9" spans="1:4" x14ac:dyDescent="0.25">
      <c r="A9" s="2" t="s">
        <v>29</v>
      </c>
      <c r="B9" s="54">
        <v>1500</v>
      </c>
      <c r="C9" s="8">
        <v>3</v>
      </c>
      <c r="D9" s="55">
        <f t="shared" si="0"/>
        <v>4500</v>
      </c>
    </row>
    <row r="10" spans="1:4" s="13" customFormat="1" ht="19.5" customHeight="1" x14ac:dyDescent="0.25">
      <c r="C10" s="36" t="s">
        <v>13</v>
      </c>
      <c r="D10" s="55">
        <f>SUM(D4:D9)</f>
        <v>9740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A2B9-0349-49BA-B1C1-E65B0F56D5C4}">
  <dimension ref="A1:J14"/>
  <sheetViews>
    <sheetView zoomScale="109" workbookViewId="0">
      <selection sqref="A1:G1"/>
    </sheetView>
  </sheetViews>
  <sheetFormatPr baseColWidth="10" defaultRowHeight="15" x14ac:dyDescent="0.25"/>
  <cols>
    <col min="1" max="1" width="12.42578125" customWidth="1"/>
    <col min="2" max="3" width="15.85546875" bestFit="1" customWidth="1"/>
    <col min="4" max="4" width="14.85546875" bestFit="1" customWidth="1"/>
    <col min="5" max="5" width="15.85546875" bestFit="1" customWidth="1"/>
    <col min="6" max="7" width="13.28515625" bestFit="1" customWidth="1"/>
    <col min="8" max="10" width="15.85546875" bestFit="1" customWidth="1"/>
  </cols>
  <sheetData>
    <row r="1" spans="1:10" ht="27.75" customHeight="1" x14ac:dyDescent="0.25">
      <c r="A1" s="71" t="s">
        <v>52</v>
      </c>
      <c r="B1" s="72"/>
      <c r="C1" s="72"/>
      <c r="D1" s="72"/>
      <c r="E1" s="72"/>
      <c r="F1" s="72"/>
      <c r="G1" s="73"/>
      <c r="H1" s="74" t="s">
        <v>56</v>
      </c>
      <c r="I1" s="75"/>
      <c r="J1" s="76"/>
    </row>
    <row r="2" spans="1:10" ht="22.5" customHeight="1" x14ac:dyDescent="0.25">
      <c r="A2" s="85" t="s">
        <v>60</v>
      </c>
      <c r="B2" s="79" t="s">
        <v>53</v>
      </c>
      <c r="C2" s="80"/>
      <c r="D2" s="81" t="s">
        <v>54</v>
      </c>
      <c r="E2" s="82"/>
      <c r="F2" s="83" t="s">
        <v>55</v>
      </c>
      <c r="G2" s="84"/>
      <c r="H2" s="77"/>
      <c r="I2" s="77"/>
      <c r="J2" s="78"/>
    </row>
    <row r="3" spans="1:10" ht="21.75" customHeight="1" x14ac:dyDescent="0.25">
      <c r="A3" s="86"/>
      <c r="B3" s="42" t="s">
        <v>57</v>
      </c>
      <c r="C3" s="43" t="s">
        <v>58</v>
      </c>
      <c r="D3" s="44" t="s">
        <v>57</v>
      </c>
      <c r="E3" s="45" t="s">
        <v>58</v>
      </c>
      <c r="F3" s="46" t="s">
        <v>57</v>
      </c>
      <c r="G3" s="47" t="s">
        <v>58</v>
      </c>
      <c r="H3" s="40" t="s">
        <v>57</v>
      </c>
      <c r="I3" s="41" t="s">
        <v>58</v>
      </c>
      <c r="J3" s="41" t="s">
        <v>59</v>
      </c>
    </row>
    <row r="4" spans="1:10" ht="16.5" customHeight="1" x14ac:dyDescent="0.25">
      <c r="A4" s="31">
        <v>1</v>
      </c>
      <c r="B4" s="26">
        <v>300000</v>
      </c>
      <c r="C4" s="27">
        <v>435600</v>
      </c>
      <c r="D4" s="25">
        <v>568900</v>
      </c>
      <c r="E4" s="27">
        <v>5689000</v>
      </c>
      <c r="F4" s="26">
        <v>56790</v>
      </c>
      <c r="G4" s="27">
        <v>38000</v>
      </c>
      <c r="H4" s="37">
        <f>B4+D4+F4</f>
        <v>925690</v>
      </c>
      <c r="I4" s="38">
        <f>C4+E4+G4</f>
        <v>6162600</v>
      </c>
      <c r="J4" s="38">
        <f>H4+I4</f>
        <v>7088290</v>
      </c>
    </row>
    <row r="5" spans="1:10" ht="16.5" customHeight="1" x14ac:dyDescent="0.25">
      <c r="A5" s="31">
        <v>2</v>
      </c>
      <c r="B5" s="26">
        <v>846270</v>
      </c>
      <c r="C5" s="27">
        <v>65000</v>
      </c>
      <c r="D5" s="25">
        <v>234500</v>
      </c>
      <c r="E5" s="27">
        <v>567000</v>
      </c>
      <c r="F5" s="26">
        <v>23000</v>
      </c>
      <c r="G5" s="27">
        <v>45000</v>
      </c>
      <c r="H5" s="37">
        <f t="shared" ref="H5:H13" si="0">B5+D5+F5</f>
        <v>1103770</v>
      </c>
      <c r="I5" s="38">
        <f t="shared" ref="I5:I13" si="1">C5+E5+G5</f>
        <v>677000</v>
      </c>
      <c r="J5" s="38">
        <f t="shared" ref="J5:J13" si="2">H5+I5</f>
        <v>1780770</v>
      </c>
    </row>
    <row r="6" spans="1:10" ht="16.5" customHeight="1" x14ac:dyDescent="0.25">
      <c r="A6" s="31">
        <v>3</v>
      </c>
      <c r="B6" s="26">
        <v>4356000</v>
      </c>
      <c r="C6" s="27">
        <v>634000</v>
      </c>
      <c r="D6" s="25">
        <v>846270</v>
      </c>
      <c r="E6" s="27">
        <v>3219000</v>
      </c>
      <c r="F6" s="26">
        <v>89000</v>
      </c>
      <c r="G6" s="27">
        <v>56400</v>
      </c>
      <c r="H6" s="37">
        <f t="shared" si="0"/>
        <v>5291270</v>
      </c>
      <c r="I6" s="38">
        <f t="shared" si="1"/>
        <v>3909400</v>
      </c>
      <c r="J6" s="38">
        <f t="shared" si="2"/>
        <v>9200670</v>
      </c>
    </row>
    <row r="7" spans="1:10" ht="16.5" customHeight="1" x14ac:dyDescent="0.25">
      <c r="A7" s="31">
        <v>4</v>
      </c>
      <c r="B7" s="26">
        <v>234500</v>
      </c>
      <c r="C7" s="27">
        <v>568900</v>
      </c>
      <c r="D7" s="25">
        <v>563800</v>
      </c>
      <c r="E7" s="27">
        <v>567000</v>
      </c>
      <c r="F7" s="26">
        <v>67500</v>
      </c>
      <c r="G7" s="27">
        <v>76600</v>
      </c>
      <c r="H7" s="37">
        <f t="shared" si="0"/>
        <v>865800</v>
      </c>
      <c r="I7" s="38">
        <f t="shared" si="1"/>
        <v>1212500</v>
      </c>
      <c r="J7" s="38">
        <f t="shared" si="2"/>
        <v>2078300</v>
      </c>
    </row>
    <row r="8" spans="1:10" ht="16.5" customHeight="1" x14ac:dyDescent="0.25">
      <c r="A8" s="31">
        <v>5</v>
      </c>
      <c r="B8" s="26">
        <v>500000</v>
      </c>
      <c r="C8" s="27">
        <v>432000</v>
      </c>
      <c r="D8" s="25">
        <v>430000</v>
      </c>
      <c r="E8" s="27">
        <v>436700</v>
      </c>
      <c r="F8" s="26">
        <v>45300</v>
      </c>
      <c r="G8" s="27">
        <v>56400</v>
      </c>
      <c r="H8" s="37">
        <f t="shared" si="0"/>
        <v>975300</v>
      </c>
      <c r="I8" s="38">
        <f t="shared" si="1"/>
        <v>925100</v>
      </c>
      <c r="J8" s="38">
        <f t="shared" si="2"/>
        <v>1900400</v>
      </c>
    </row>
    <row r="9" spans="1:10" ht="16.5" customHeight="1" x14ac:dyDescent="0.25">
      <c r="A9" s="31">
        <v>6</v>
      </c>
      <c r="B9" s="26">
        <v>679000</v>
      </c>
      <c r="C9" s="27">
        <v>67000</v>
      </c>
      <c r="D9" s="25">
        <v>420000</v>
      </c>
      <c r="E9" s="27">
        <v>5379000</v>
      </c>
      <c r="F9" s="26">
        <v>43200</v>
      </c>
      <c r="G9" s="27">
        <v>41800</v>
      </c>
      <c r="H9" s="37">
        <f t="shared" si="0"/>
        <v>1142200</v>
      </c>
      <c r="I9" s="38">
        <f t="shared" si="1"/>
        <v>5487800</v>
      </c>
      <c r="J9" s="38">
        <f t="shared" si="2"/>
        <v>6630000</v>
      </c>
    </row>
    <row r="10" spans="1:10" ht="16.5" customHeight="1" x14ac:dyDescent="0.25">
      <c r="A10" s="31">
        <v>7</v>
      </c>
      <c r="B10" s="26">
        <v>324560</v>
      </c>
      <c r="C10" s="27">
        <v>7856000</v>
      </c>
      <c r="D10" s="25">
        <v>600000</v>
      </c>
      <c r="E10" s="27">
        <v>45630</v>
      </c>
      <c r="F10" s="26">
        <v>98000</v>
      </c>
      <c r="G10" s="27">
        <v>89000</v>
      </c>
      <c r="H10" s="37">
        <f t="shared" si="0"/>
        <v>1022560</v>
      </c>
      <c r="I10" s="38">
        <f t="shared" si="1"/>
        <v>7990630</v>
      </c>
      <c r="J10" s="38">
        <f t="shared" si="2"/>
        <v>9013190</v>
      </c>
    </row>
    <row r="11" spans="1:10" ht="16.5" customHeight="1" x14ac:dyDescent="0.25">
      <c r="A11" s="35">
        <v>8</v>
      </c>
      <c r="B11" s="28">
        <v>7680650</v>
      </c>
      <c r="C11" s="29">
        <v>4532000</v>
      </c>
      <c r="D11" s="30">
        <v>123000</v>
      </c>
      <c r="E11" s="29">
        <v>646600</v>
      </c>
      <c r="F11" s="28">
        <v>106700</v>
      </c>
      <c r="G11" s="29">
        <v>90800</v>
      </c>
      <c r="H11" s="37">
        <f t="shared" si="0"/>
        <v>7910350</v>
      </c>
      <c r="I11" s="38">
        <f t="shared" si="1"/>
        <v>5269400</v>
      </c>
      <c r="J11" s="38">
        <f t="shared" si="2"/>
        <v>13179750</v>
      </c>
    </row>
    <row r="12" spans="1:10" ht="16.5" customHeight="1" x14ac:dyDescent="0.25">
      <c r="A12" s="34">
        <v>9</v>
      </c>
      <c r="B12" s="4">
        <v>878000</v>
      </c>
      <c r="C12" s="4">
        <v>68000</v>
      </c>
      <c r="D12" s="4">
        <v>87600</v>
      </c>
      <c r="E12" s="4">
        <v>542000</v>
      </c>
      <c r="F12" s="4">
        <v>54680</v>
      </c>
      <c r="G12" s="4">
        <v>89900</v>
      </c>
      <c r="H12" s="37">
        <f t="shared" si="0"/>
        <v>1020280</v>
      </c>
      <c r="I12" s="38">
        <f t="shared" si="1"/>
        <v>699900</v>
      </c>
      <c r="J12" s="38">
        <f t="shared" si="2"/>
        <v>1720180</v>
      </c>
    </row>
    <row r="13" spans="1:10" ht="16.5" customHeight="1" x14ac:dyDescent="0.25">
      <c r="A13" s="34">
        <v>10</v>
      </c>
      <c r="B13" s="4">
        <v>7679000</v>
      </c>
      <c r="C13" s="4">
        <v>23400</v>
      </c>
      <c r="D13" s="4">
        <v>320000</v>
      </c>
      <c r="E13" s="4">
        <v>776000</v>
      </c>
      <c r="F13" s="4">
        <v>220000</v>
      </c>
      <c r="G13" s="4">
        <v>76500</v>
      </c>
      <c r="H13" s="37">
        <f t="shared" si="0"/>
        <v>8219000</v>
      </c>
      <c r="I13" s="38">
        <f t="shared" si="1"/>
        <v>875900</v>
      </c>
      <c r="J13" s="38">
        <f t="shared" si="2"/>
        <v>9094900</v>
      </c>
    </row>
    <row r="14" spans="1:10" ht="21.75" customHeight="1" x14ac:dyDescent="0.25">
      <c r="A14" s="48" t="s">
        <v>56</v>
      </c>
      <c r="B14" s="39">
        <f>SUM(B4:B13)</f>
        <v>23477980</v>
      </c>
      <c r="C14" s="39">
        <f t="shared" ref="C14:J14" si="3">SUM(C4:C13)</f>
        <v>14681900</v>
      </c>
      <c r="D14" s="39">
        <f t="shared" si="3"/>
        <v>4194070</v>
      </c>
      <c r="E14" s="39">
        <f t="shared" si="3"/>
        <v>17867930</v>
      </c>
      <c r="F14" s="39">
        <f t="shared" si="3"/>
        <v>804170</v>
      </c>
      <c r="G14" s="39">
        <f t="shared" si="3"/>
        <v>660400</v>
      </c>
      <c r="H14" s="39">
        <f t="shared" si="3"/>
        <v>28476220</v>
      </c>
      <c r="I14" s="39">
        <f t="shared" si="3"/>
        <v>33210230</v>
      </c>
      <c r="J14" s="39">
        <f t="shared" si="3"/>
        <v>61686450</v>
      </c>
    </row>
  </sheetData>
  <mergeCells count="6">
    <mergeCell ref="A1:G1"/>
    <mergeCell ref="H1:J2"/>
    <mergeCell ref="B2:C2"/>
    <mergeCell ref="D2:E2"/>
    <mergeCell ref="F2:G2"/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63E7-F7A2-447D-8C36-34F25469D8D8}">
  <dimension ref="A1:F14"/>
  <sheetViews>
    <sheetView zoomScale="130" zoomScaleNormal="130" workbookViewId="0">
      <selection sqref="A1:F1"/>
    </sheetView>
  </sheetViews>
  <sheetFormatPr baseColWidth="10" defaultRowHeight="15" x14ac:dyDescent="0.25"/>
  <cols>
    <col min="1" max="1" width="13" customWidth="1"/>
    <col min="2" max="2" width="12.5703125" bestFit="1" customWidth="1"/>
    <col min="4" max="4" width="12.7109375" bestFit="1" customWidth="1"/>
    <col min="6" max="6" width="12.5703125" bestFit="1" customWidth="1"/>
  </cols>
  <sheetData>
    <row r="1" spans="1:6" ht="30" customHeight="1" x14ac:dyDescent="0.25">
      <c r="A1" s="87" t="s">
        <v>14</v>
      </c>
      <c r="B1" s="87"/>
      <c r="C1" s="87"/>
      <c r="D1" s="87"/>
      <c r="E1" s="87"/>
      <c r="F1" s="87"/>
    </row>
    <row r="2" spans="1:6" ht="11.25" customHeight="1" x14ac:dyDescent="0.25"/>
    <row r="3" spans="1:6" x14ac:dyDescent="0.25">
      <c r="A3" s="5" t="s">
        <v>15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12</v>
      </c>
    </row>
    <row r="4" spans="1:6" x14ac:dyDescent="0.25">
      <c r="A4" s="16" t="s">
        <v>16</v>
      </c>
      <c r="B4" s="3">
        <v>2500</v>
      </c>
      <c r="C4" s="3">
        <v>1500</v>
      </c>
      <c r="D4" s="3">
        <v>2500</v>
      </c>
      <c r="E4" s="3">
        <v>1500</v>
      </c>
      <c r="F4" s="49">
        <f>SUM(B4:E4)</f>
        <v>8000</v>
      </c>
    </row>
    <row r="5" spans="1:6" x14ac:dyDescent="0.25">
      <c r="A5" s="16" t="s">
        <v>17</v>
      </c>
      <c r="B5" s="3">
        <v>3000</v>
      </c>
      <c r="C5" s="3">
        <v>0</v>
      </c>
      <c r="D5" s="3">
        <v>3000</v>
      </c>
      <c r="E5" s="3">
        <v>1500</v>
      </c>
      <c r="F5" s="49">
        <f t="shared" ref="F5:F9" si="0">SUM(B5:E5)</f>
        <v>7500</v>
      </c>
    </row>
    <row r="6" spans="1:6" x14ac:dyDescent="0.25">
      <c r="A6" s="16" t="s">
        <v>18</v>
      </c>
      <c r="B6" s="3">
        <v>1500</v>
      </c>
      <c r="C6" s="3">
        <v>2000</v>
      </c>
      <c r="D6" s="3">
        <v>2000</v>
      </c>
      <c r="E6" s="3">
        <v>1500</v>
      </c>
      <c r="F6" s="49">
        <f t="shared" si="0"/>
        <v>7000</v>
      </c>
    </row>
    <row r="7" spans="1:6" x14ac:dyDescent="0.25">
      <c r="A7" s="16" t="s">
        <v>19</v>
      </c>
      <c r="B7" s="3">
        <v>3500</v>
      </c>
      <c r="C7" s="3">
        <v>1500</v>
      </c>
      <c r="D7" s="3">
        <v>2500</v>
      </c>
      <c r="E7" s="3">
        <v>1500</v>
      </c>
      <c r="F7" s="49">
        <f t="shared" si="0"/>
        <v>9000</v>
      </c>
    </row>
    <row r="8" spans="1:6" x14ac:dyDescent="0.25">
      <c r="A8" s="16" t="s">
        <v>20</v>
      </c>
      <c r="B8" s="3">
        <v>1000</v>
      </c>
      <c r="C8" s="3">
        <v>1500</v>
      </c>
      <c r="D8" s="3">
        <v>2000</v>
      </c>
      <c r="E8" s="3">
        <v>1500</v>
      </c>
      <c r="F8" s="49">
        <f t="shared" si="0"/>
        <v>6000</v>
      </c>
    </row>
    <row r="9" spans="1:6" x14ac:dyDescent="0.25">
      <c r="A9" s="16" t="s">
        <v>21</v>
      </c>
      <c r="B9" s="3">
        <v>2000</v>
      </c>
      <c r="C9" s="3">
        <v>0</v>
      </c>
      <c r="D9" s="3">
        <v>2500</v>
      </c>
      <c r="E9" s="3">
        <v>1500</v>
      </c>
      <c r="F9" s="49">
        <f t="shared" si="0"/>
        <v>6000</v>
      </c>
    </row>
    <row r="11" spans="1:6" x14ac:dyDescent="0.25">
      <c r="A11" s="1" t="s">
        <v>26</v>
      </c>
      <c r="B11" s="49">
        <f>AVERAGE(B4:B9)</f>
        <v>2250</v>
      </c>
      <c r="C11" s="49">
        <f t="shared" ref="C11:F11" si="1">AVERAGE(C4:C9)</f>
        <v>1083.3333333333333</v>
      </c>
      <c r="D11" s="49">
        <f t="shared" si="1"/>
        <v>2416.6666666666665</v>
      </c>
      <c r="E11" s="49">
        <f t="shared" si="1"/>
        <v>1500</v>
      </c>
      <c r="F11" s="49">
        <f t="shared" si="1"/>
        <v>7250</v>
      </c>
    </row>
    <row r="12" spans="1:6" x14ac:dyDescent="0.25">
      <c r="A12" s="1" t="s">
        <v>27</v>
      </c>
      <c r="B12" s="49">
        <f>MAX(B4:B9)</f>
        <v>3500</v>
      </c>
      <c r="C12" s="49">
        <f t="shared" ref="C12:F12" si="2">MAX(C4:C9)</f>
        <v>2000</v>
      </c>
      <c r="D12" s="49">
        <f t="shared" si="2"/>
        <v>3000</v>
      </c>
      <c r="E12" s="49">
        <f t="shared" si="2"/>
        <v>1500</v>
      </c>
      <c r="F12" s="49">
        <f t="shared" si="2"/>
        <v>9000</v>
      </c>
    </row>
    <row r="13" spans="1:6" x14ac:dyDescent="0.25">
      <c r="A13" s="1" t="s">
        <v>28</v>
      </c>
      <c r="B13" s="49">
        <f>MIN(B4:B9)</f>
        <v>1000</v>
      </c>
      <c r="C13" s="49">
        <f t="shared" ref="C13:F13" si="3">MIN(C4:C9)</f>
        <v>0</v>
      </c>
      <c r="D13" s="49">
        <f t="shared" si="3"/>
        <v>2000</v>
      </c>
      <c r="E13" s="49">
        <f t="shared" si="3"/>
        <v>1500</v>
      </c>
      <c r="F13" s="49">
        <f t="shared" si="3"/>
        <v>6000</v>
      </c>
    </row>
    <row r="14" spans="1:6" x14ac:dyDescent="0.25">
      <c r="A14" s="1" t="s">
        <v>0</v>
      </c>
      <c r="B14" s="49">
        <f>SUM(B4:B9)</f>
        <v>13500</v>
      </c>
      <c r="C14" s="49">
        <f t="shared" ref="C14:F14" si="4">SUM(C4:C9)</f>
        <v>6500</v>
      </c>
      <c r="D14" s="49">
        <f t="shared" si="4"/>
        <v>14500</v>
      </c>
      <c r="E14" s="49">
        <f t="shared" si="4"/>
        <v>9000</v>
      </c>
      <c r="F14" s="49">
        <f t="shared" si="4"/>
        <v>43500</v>
      </c>
    </row>
  </sheetData>
  <mergeCells count="1">
    <mergeCell ref="A1:F1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2AC5-C9B4-491D-A186-CDD382B19A47}">
  <dimension ref="A2:I15"/>
  <sheetViews>
    <sheetView zoomScale="120" zoomScaleNormal="120" workbookViewId="0">
      <selection activeCell="B2" sqref="B2"/>
    </sheetView>
  </sheetViews>
  <sheetFormatPr baseColWidth="10" defaultRowHeight="15" x14ac:dyDescent="0.25"/>
  <cols>
    <col min="1" max="1" width="17.85546875" customWidth="1"/>
    <col min="2" max="2" width="18.28515625" bestFit="1" customWidth="1"/>
    <col min="6" max="6" width="19.42578125" customWidth="1"/>
    <col min="8" max="8" width="15.42578125" customWidth="1"/>
  </cols>
  <sheetData>
    <row r="2" spans="1:9" ht="23.25" customHeight="1" x14ac:dyDescent="0.25">
      <c r="B2" s="33" t="s">
        <v>61</v>
      </c>
      <c r="F2" s="33" t="s">
        <v>61</v>
      </c>
    </row>
    <row r="3" spans="1:9" x14ac:dyDescent="0.25">
      <c r="B3" s="1">
        <v>1234</v>
      </c>
      <c r="F3" s="1" t="s">
        <v>4</v>
      </c>
    </row>
    <row r="4" spans="1:9" x14ac:dyDescent="0.25">
      <c r="B4" s="1" t="s">
        <v>67</v>
      </c>
      <c r="F4" s="4">
        <v>53500</v>
      </c>
    </row>
    <row r="5" spans="1:9" x14ac:dyDescent="0.25">
      <c r="B5" s="1">
        <v>101</v>
      </c>
      <c r="F5" s="1" t="s">
        <v>62</v>
      </c>
    </row>
    <row r="6" spans="1:9" x14ac:dyDescent="0.25">
      <c r="B6" s="1" t="s">
        <v>63</v>
      </c>
      <c r="F6" s="1" t="s">
        <v>51</v>
      </c>
    </row>
    <row r="7" spans="1:9" x14ac:dyDescent="0.25">
      <c r="B7" s="1">
        <v>512.4</v>
      </c>
      <c r="F7" s="1"/>
    </row>
    <row r="8" spans="1:9" x14ac:dyDescent="0.25">
      <c r="B8" s="1"/>
      <c r="F8" s="32">
        <v>45425</v>
      </c>
    </row>
    <row r="9" spans="1:9" x14ac:dyDescent="0.25">
      <c r="B9" s="6">
        <v>0.05</v>
      </c>
      <c r="F9" s="1">
        <v>0.89</v>
      </c>
    </row>
    <row r="10" spans="1:9" x14ac:dyDescent="0.25">
      <c r="B10" s="1" t="s">
        <v>63</v>
      </c>
      <c r="F10" s="1"/>
    </row>
    <row r="11" spans="1:9" x14ac:dyDescent="0.25">
      <c r="B11" s="1">
        <v>75</v>
      </c>
      <c r="F11" s="1" t="s">
        <v>64</v>
      </c>
    </row>
    <row r="13" spans="1:9" x14ac:dyDescent="0.25">
      <c r="A13" s="88" t="s">
        <v>68</v>
      </c>
      <c r="B13" s="89"/>
      <c r="C13" s="90"/>
      <c r="D13" s="22">
        <f>COUNTA(B3:B11)</f>
        <v>8</v>
      </c>
      <c r="F13" s="88" t="s">
        <v>68</v>
      </c>
      <c r="G13" s="89"/>
      <c r="H13" s="90"/>
      <c r="I13" s="22">
        <f>COUNTA(F3:F11)</f>
        <v>7</v>
      </c>
    </row>
    <row r="14" spans="1:9" x14ac:dyDescent="0.25">
      <c r="A14" s="88" t="s">
        <v>65</v>
      </c>
      <c r="B14" s="89"/>
      <c r="C14" s="90"/>
      <c r="D14" s="22">
        <f>COUNT(B3:B11)</f>
        <v>5</v>
      </c>
      <c r="F14" s="88" t="s">
        <v>65</v>
      </c>
      <c r="G14" s="89"/>
      <c r="H14" s="90"/>
      <c r="I14" s="22">
        <f>COUNT(F3:F11)</f>
        <v>3</v>
      </c>
    </row>
    <row r="15" spans="1:9" x14ac:dyDescent="0.25">
      <c r="A15" s="88" t="s">
        <v>66</v>
      </c>
      <c r="B15" s="89"/>
      <c r="C15" s="90"/>
      <c r="D15" s="22">
        <f>COUNTBLANK(B3:B11)</f>
        <v>1</v>
      </c>
      <c r="F15" s="88" t="s">
        <v>66</v>
      </c>
      <c r="G15" s="89"/>
      <c r="H15" s="90"/>
      <c r="I15" s="22">
        <f>COUNTBLANK(F3:F11)</f>
        <v>2</v>
      </c>
    </row>
  </sheetData>
  <mergeCells count="6">
    <mergeCell ref="A14:C14"/>
    <mergeCell ref="A13:C13"/>
    <mergeCell ref="A15:C15"/>
    <mergeCell ref="F13:H13"/>
    <mergeCell ref="F14:H14"/>
    <mergeCell ref="F15:H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A21D-30B1-4DB9-A1D0-D5D423C10EB1}">
  <dimension ref="A1:F19"/>
  <sheetViews>
    <sheetView zoomScale="110" zoomScaleNormal="110" workbookViewId="0">
      <selection sqref="A1:F1"/>
    </sheetView>
  </sheetViews>
  <sheetFormatPr baseColWidth="10" defaultRowHeight="15" x14ac:dyDescent="0.25"/>
  <cols>
    <col min="1" max="1" width="15.42578125" bestFit="1" customWidth="1"/>
    <col min="2" max="2" width="16.85546875" customWidth="1"/>
    <col min="3" max="3" width="14.7109375" bestFit="1" customWidth="1"/>
    <col min="4" max="4" width="18.42578125" bestFit="1" customWidth="1"/>
    <col min="5" max="5" width="22.28515625" bestFit="1" customWidth="1"/>
    <col min="6" max="6" width="17.7109375" customWidth="1"/>
  </cols>
  <sheetData>
    <row r="1" spans="1:6" ht="21.75" customHeight="1" x14ac:dyDescent="0.25">
      <c r="A1" s="91" t="s">
        <v>48</v>
      </c>
      <c r="B1" s="92"/>
      <c r="C1" s="92"/>
      <c r="D1" s="92"/>
      <c r="E1" s="92"/>
      <c r="F1" s="92"/>
    </row>
    <row r="2" spans="1:6" ht="12" customHeight="1" x14ac:dyDescent="0.25"/>
    <row r="3" spans="1:6" ht="25.5" customHeight="1" x14ac:dyDescent="0.25">
      <c r="A3" s="7" t="s">
        <v>30</v>
      </c>
      <c r="B3" s="7" t="s">
        <v>39</v>
      </c>
      <c r="C3" s="7" t="s">
        <v>40</v>
      </c>
      <c r="D3" s="7" t="s">
        <v>49</v>
      </c>
      <c r="E3" s="7" t="s">
        <v>282</v>
      </c>
      <c r="F3" s="7" t="s">
        <v>283</v>
      </c>
    </row>
    <row r="4" spans="1:6" x14ac:dyDescent="0.25">
      <c r="A4" s="16" t="s">
        <v>38</v>
      </c>
      <c r="B4" s="3">
        <v>16000</v>
      </c>
      <c r="C4" s="3">
        <v>600000</v>
      </c>
      <c r="D4" s="15">
        <v>0.02</v>
      </c>
      <c r="E4" s="20">
        <f>C4*D4</f>
        <v>12000</v>
      </c>
      <c r="F4" s="20">
        <f>B4+E4</f>
        <v>28000</v>
      </c>
    </row>
    <row r="5" spans="1:6" x14ac:dyDescent="0.25">
      <c r="A5" s="16" t="s">
        <v>35</v>
      </c>
      <c r="B5" s="3">
        <v>14000</v>
      </c>
      <c r="C5" s="3">
        <v>350000</v>
      </c>
      <c r="D5" s="15">
        <v>0.02</v>
      </c>
      <c r="E5" s="20">
        <f t="shared" ref="E5:E12" si="0">C5*D5</f>
        <v>7000</v>
      </c>
      <c r="F5" s="20">
        <f t="shared" ref="F5:F12" si="1">B5+E5</f>
        <v>21000</v>
      </c>
    </row>
    <row r="6" spans="1:6" x14ac:dyDescent="0.25">
      <c r="A6" s="16" t="s">
        <v>36</v>
      </c>
      <c r="B6" s="3">
        <v>19000</v>
      </c>
      <c r="C6" s="3">
        <v>450000</v>
      </c>
      <c r="D6" s="15">
        <v>0.02</v>
      </c>
      <c r="E6" s="20">
        <f t="shared" si="0"/>
        <v>9000</v>
      </c>
      <c r="F6" s="20">
        <f t="shared" si="1"/>
        <v>28000</v>
      </c>
    </row>
    <row r="7" spans="1:6" x14ac:dyDescent="0.25">
      <c r="A7" s="16" t="s">
        <v>50</v>
      </c>
      <c r="B7" s="3">
        <v>13000</v>
      </c>
      <c r="C7" s="3">
        <v>400000</v>
      </c>
      <c r="D7" s="15">
        <v>0.02</v>
      </c>
      <c r="E7" s="20">
        <f t="shared" si="0"/>
        <v>8000</v>
      </c>
      <c r="F7" s="20">
        <f t="shared" si="1"/>
        <v>21000</v>
      </c>
    </row>
    <row r="8" spans="1:6" x14ac:dyDescent="0.25">
      <c r="A8" s="16" t="s">
        <v>37</v>
      </c>
      <c r="B8" s="3">
        <v>17000</v>
      </c>
      <c r="C8" s="3">
        <v>650000</v>
      </c>
      <c r="D8" s="15">
        <v>0.02</v>
      </c>
      <c r="E8" s="20">
        <f t="shared" si="0"/>
        <v>13000</v>
      </c>
      <c r="F8" s="20">
        <f t="shared" si="1"/>
        <v>30000</v>
      </c>
    </row>
    <row r="9" spans="1:6" x14ac:dyDescent="0.25">
      <c r="A9" s="16" t="s">
        <v>33</v>
      </c>
      <c r="B9" s="3">
        <v>11000</v>
      </c>
      <c r="C9" s="3">
        <v>300000</v>
      </c>
      <c r="D9" s="15">
        <v>0.02</v>
      </c>
      <c r="E9" s="20">
        <f t="shared" si="0"/>
        <v>6000</v>
      </c>
      <c r="F9" s="20">
        <f t="shared" si="1"/>
        <v>17000</v>
      </c>
    </row>
    <row r="10" spans="1:6" x14ac:dyDescent="0.25">
      <c r="A10" s="16" t="s">
        <v>34</v>
      </c>
      <c r="B10" s="3">
        <v>15000</v>
      </c>
      <c r="C10" s="3">
        <v>250000</v>
      </c>
      <c r="D10" s="15">
        <v>0.02</v>
      </c>
      <c r="E10" s="20">
        <f t="shared" si="0"/>
        <v>5000</v>
      </c>
      <c r="F10" s="20">
        <f t="shared" si="1"/>
        <v>20000</v>
      </c>
    </row>
    <row r="11" spans="1:6" x14ac:dyDescent="0.25">
      <c r="A11" s="16" t="s">
        <v>31</v>
      </c>
      <c r="B11" s="3">
        <v>15000</v>
      </c>
      <c r="C11" s="3">
        <v>150000</v>
      </c>
      <c r="D11" s="15">
        <v>0.02</v>
      </c>
      <c r="E11" s="20">
        <f t="shared" si="0"/>
        <v>3000</v>
      </c>
      <c r="F11" s="20">
        <f t="shared" si="1"/>
        <v>18000</v>
      </c>
    </row>
    <row r="12" spans="1:6" x14ac:dyDescent="0.25">
      <c r="A12" s="16" t="s">
        <v>32</v>
      </c>
      <c r="B12" s="3">
        <v>12000</v>
      </c>
      <c r="C12" s="3">
        <v>200000</v>
      </c>
      <c r="D12" s="15">
        <v>0.02</v>
      </c>
      <c r="E12" s="20">
        <f t="shared" si="0"/>
        <v>4000</v>
      </c>
      <c r="F12" s="20">
        <f t="shared" si="1"/>
        <v>16000</v>
      </c>
    </row>
    <row r="13" spans="1:6" x14ac:dyDescent="0.25">
      <c r="A13" s="17"/>
    </row>
    <row r="14" spans="1:6" x14ac:dyDescent="0.25">
      <c r="A14" s="9" t="s">
        <v>27</v>
      </c>
      <c r="B14" s="20">
        <f>MAX(B4:B12)</f>
        <v>19000</v>
      </c>
      <c r="C14" s="20">
        <f t="shared" ref="C14:F14" si="2">MAX(C4:C12)</f>
        <v>650000</v>
      </c>
      <c r="D14" s="21">
        <f t="shared" si="2"/>
        <v>0.02</v>
      </c>
      <c r="E14" s="20">
        <f t="shared" si="2"/>
        <v>13000</v>
      </c>
      <c r="F14" s="20">
        <f t="shared" si="2"/>
        <v>30000</v>
      </c>
    </row>
    <row r="15" spans="1:6" x14ac:dyDescent="0.25">
      <c r="A15" s="9" t="s">
        <v>28</v>
      </c>
      <c r="B15" s="20">
        <f>MIN(B4:B12)</f>
        <v>11000</v>
      </c>
      <c r="C15" s="20">
        <f t="shared" ref="C15:F15" si="3">MIN(C4:C12)</f>
        <v>150000</v>
      </c>
      <c r="D15" s="21">
        <f t="shared" si="3"/>
        <v>0.02</v>
      </c>
      <c r="E15" s="20">
        <f t="shared" si="3"/>
        <v>3000</v>
      </c>
      <c r="F15" s="20">
        <f t="shared" si="3"/>
        <v>16000</v>
      </c>
    </row>
    <row r="16" spans="1:6" x14ac:dyDescent="0.25">
      <c r="A16" s="9" t="s">
        <v>26</v>
      </c>
      <c r="B16" s="20">
        <f>AVERAGE(B4:B12)</f>
        <v>14666.666666666666</v>
      </c>
      <c r="C16" s="20">
        <f t="shared" ref="C16:F16" si="4">AVERAGE(C4:C12)</f>
        <v>372222.22222222225</v>
      </c>
      <c r="D16" s="21">
        <f t="shared" si="4"/>
        <v>0.02</v>
      </c>
      <c r="E16" s="20">
        <f t="shared" si="4"/>
        <v>7444.4444444444443</v>
      </c>
      <c r="F16" s="20">
        <f t="shared" si="4"/>
        <v>22111.111111111109</v>
      </c>
    </row>
    <row r="19" customFormat="1" x14ac:dyDescent="0.25"/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BC4A-49BC-4D68-BE7E-AC2E1B7039BA}">
  <dimension ref="A1:E15"/>
  <sheetViews>
    <sheetView zoomScale="120" zoomScaleNormal="120" workbookViewId="0">
      <selection sqref="A1:E1"/>
    </sheetView>
  </sheetViews>
  <sheetFormatPr baseColWidth="10" defaultRowHeight="15" x14ac:dyDescent="0.25"/>
  <cols>
    <col min="1" max="1" width="16.85546875" customWidth="1"/>
    <col min="2" max="2" width="15.7109375" bestFit="1" customWidth="1"/>
    <col min="3" max="3" width="14.7109375" bestFit="1" customWidth="1"/>
    <col min="4" max="4" width="22.28515625" bestFit="1" customWidth="1"/>
    <col min="5" max="5" width="19" customWidth="1"/>
  </cols>
  <sheetData>
    <row r="1" spans="1:5" ht="23.25" customHeight="1" x14ac:dyDescent="0.25">
      <c r="A1" s="93" t="s">
        <v>48</v>
      </c>
      <c r="B1" s="93"/>
      <c r="C1" s="93"/>
      <c r="D1" s="93"/>
      <c r="E1" s="93"/>
    </row>
    <row r="3" spans="1:5" ht="20.25" customHeight="1" x14ac:dyDescent="0.25">
      <c r="A3" s="18" t="s">
        <v>49</v>
      </c>
      <c r="B3" s="19">
        <v>0.02</v>
      </c>
    </row>
    <row r="5" spans="1:5" ht="25.5" customHeight="1" x14ac:dyDescent="0.25">
      <c r="A5" s="7" t="s">
        <v>30</v>
      </c>
      <c r="B5" s="7" t="s">
        <v>39</v>
      </c>
      <c r="C5" s="7" t="s">
        <v>40</v>
      </c>
      <c r="D5" s="7" t="s">
        <v>282</v>
      </c>
      <c r="E5" s="7" t="s">
        <v>283</v>
      </c>
    </row>
    <row r="6" spans="1:5" x14ac:dyDescent="0.25">
      <c r="A6" s="16" t="s">
        <v>38</v>
      </c>
      <c r="B6" s="3">
        <v>16000</v>
      </c>
      <c r="C6" s="3">
        <v>600000</v>
      </c>
      <c r="D6" s="20">
        <f>C6*$B$3</f>
        <v>12000</v>
      </c>
      <c r="E6" s="20">
        <f>B6+D6</f>
        <v>28000</v>
      </c>
    </row>
    <row r="7" spans="1:5" x14ac:dyDescent="0.25">
      <c r="A7" s="16" t="s">
        <v>35</v>
      </c>
      <c r="B7" s="3">
        <v>14000</v>
      </c>
      <c r="C7" s="3">
        <v>350000</v>
      </c>
      <c r="D7" s="20">
        <f t="shared" ref="D7:D14" si="0">C7*$B$3</f>
        <v>7000</v>
      </c>
      <c r="E7" s="20">
        <f t="shared" ref="E7:E14" si="1">B7+D7</f>
        <v>21000</v>
      </c>
    </row>
    <row r="8" spans="1:5" x14ac:dyDescent="0.25">
      <c r="A8" s="16" t="s">
        <v>36</v>
      </c>
      <c r="B8" s="3">
        <v>19000</v>
      </c>
      <c r="C8" s="3">
        <v>450000</v>
      </c>
      <c r="D8" s="20">
        <f t="shared" si="0"/>
        <v>9000</v>
      </c>
      <c r="E8" s="20">
        <f t="shared" si="1"/>
        <v>28000</v>
      </c>
    </row>
    <row r="9" spans="1:5" x14ac:dyDescent="0.25">
      <c r="A9" s="16" t="s">
        <v>50</v>
      </c>
      <c r="B9" s="3">
        <v>13000</v>
      </c>
      <c r="C9" s="3">
        <v>400000</v>
      </c>
      <c r="D9" s="20">
        <f t="shared" si="0"/>
        <v>8000</v>
      </c>
      <c r="E9" s="20">
        <f t="shared" si="1"/>
        <v>21000</v>
      </c>
    </row>
    <row r="10" spans="1:5" x14ac:dyDescent="0.25">
      <c r="A10" s="16" t="s">
        <v>37</v>
      </c>
      <c r="B10" s="3">
        <v>17000</v>
      </c>
      <c r="C10" s="3">
        <v>650000</v>
      </c>
      <c r="D10" s="20">
        <f t="shared" si="0"/>
        <v>13000</v>
      </c>
      <c r="E10" s="20">
        <f t="shared" si="1"/>
        <v>30000</v>
      </c>
    </row>
    <row r="11" spans="1:5" x14ac:dyDescent="0.25">
      <c r="A11" s="16" t="s">
        <v>33</v>
      </c>
      <c r="B11" s="3">
        <v>11000</v>
      </c>
      <c r="C11" s="3">
        <v>300000</v>
      </c>
      <c r="D11" s="20">
        <f t="shared" si="0"/>
        <v>6000</v>
      </c>
      <c r="E11" s="20">
        <f t="shared" si="1"/>
        <v>17000</v>
      </c>
    </row>
    <row r="12" spans="1:5" x14ac:dyDescent="0.25">
      <c r="A12" s="16" t="s">
        <v>34</v>
      </c>
      <c r="B12" s="3">
        <v>15000</v>
      </c>
      <c r="C12" s="3">
        <v>250000</v>
      </c>
      <c r="D12" s="20">
        <f t="shared" si="0"/>
        <v>5000</v>
      </c>
      <c r="E12" s="20">
        <f t="shared" si="1"/>
        <v>20000</v>
      </c>
    </row>
    <row r="13" spans="1:5" x14ac:dyDescent="0.25">
      <c r="A13" s="16" t="s">
        <v>31</v>
      </c>
      <c r="B13" s="3">
        <v>15000</v>
      </c>
      <c r="C13" s="3">
        <v>150000</v>
      </c>
      <c r="D13" s="20">
        <f t="shared" si="0"/>
        <v>3000</v>
      </c>
      <c r="E13" s="20">
        <f t="shared" si="1"/>
        <v>18000</v>
      </c>
    </row>
    <row r="14" spans="1:5" x14ac:dyDescent="0.25">
      <c r="A14" s="16" t="s">
        <v>32</v>
      </c>
      <c r="B14" s="3">
        <v>12000</v>
      </c>
      <c r="C14" s="3">
        <v>200000</v>
      </c>
      <c r="D14" s="20">
        <f t="shared" si="0"/>
        <v>4000</v>
      </c>
      <c r="E14" s="20">
        <f t="shared" si="1"/>
        <v>16000</v>
      </c>
    </row>
    <row r="15" spans="1:5" x14ac:dyDescent="0.25">
      <c r="A15" s="17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4528-F5A9-41E3-AAFA-204924444FB4}">
  <dimension ref="B2:D10"/>
  <sheetViews>
    <sheetView zoomScale="150" zoomScaleNormal="150" workbookViewId="0">
      <selection activeCell="B7" sqref="B7"/>
    </sheetView>
  </sheetViews>
  <sheetFormatPr baseColWidth="10" defaultRowHeight="15" x14ac:dyDescent="0.25"/>
  <cols>
    <col min="1" max="1" width="6.140625" customWidth="1"/>
  </cols>
  <sheetData>
    <row r="2" spans="2:4" ht="18.75" x14ac:dyDescent="0.25">
      <c r="B2" s="50">
        <v>1</v>
      </c>
      <c r="C2" s="50">
        <v>2</v>
      </c>
      <c r="D2" s="50">
        <v>3</v>
      </c>
    </row>
    <row r="3" spans="2:4" ht="18.75" x14ac:dyDescent="0.25">
      <c r="B3" s="50">
        <v>4</v>
      </c>
      <c r="C3" s="50">
        <v>5</v>
      </c>
      <c r="D3" s="50">
        <v>6</v>
      </c>
    </row>
    <row r="4" spans="2:4" ht="18.75" x14ac:dyDescent="0.25">
      <c r="B4" s="50">
        <v>7</v>
      </c>
      <c r="C4" s="50">
        <v>8</v>
      </c>
      <c r="D4" s="50">
        <v>9</v>
      </c>
    </row>
    <row r="5" spans="2:4" ht="18.75" x14ac:dyDescent="0.25">
      <c r="B5" s="50">
        <v>10</v>
      </c>
      <c r="C5" s="50">
        <v>11</v>
      </c>
      <c r="D5" s="50">
        <v>12</v>
      </c>
    </row>
    <row r="7" spans="2:4" ht="15.75" x14ac:dyDescent="0.25">
      <c r="B7" s="51">
        <f>$B2</f>
        <v>1</v>
      </c>
      <c r="C7" s="51">
        <f t="shared" ref="C7:D7" si="0">$B2</f>
        <v>1</v>
      </c>
      <c r="D7" s="51">
        <f t="shared" si="0"/>
        <v>1</v>
      </c>
    </row>
    <row r="8" spans="2:4" ht="15.75" x14ac:dyDescent="0.25">
      <c r="B8" s="51">
        <f t="shared" ref="B8:B10" si="1">$B3</f>
        <v>4</v>
      </c>
      <c r="C8" s="51"/>
      <c r="D8" s="51"/>
    </row>
    <row r="9" spans="2:4" ht="15.75" x14ac:dyDescent="0.25">
      <c r="B9" s="51">
        <f t="shared" si="1"/>
        <v>7</v>
      </c>
      <c r="C9" s="51"/>
      <c r="D9" s="51"/>
    </row>
    <row r="10" spans="2:4" ht="15.75" x14ac:dyDescent="0.25">
      <c r="B10" s="51">
        <f t="shared" si="1"/>
        <v>10</v>
      </c>
      <c r="C10" s="51"/>
      <c r="D10" s="5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9BC0-7F91-482D-9BA4-3FD4E1D3E0F1}">
  <dimension ref="A1:F20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3.42578125" customWidth="1"/>
    <col min="2" max="2" width="12.85546875" customWidth="1"/>
    <col min="3" max="3" width="16.140625" customWidth="1"/>
    <col min="4" max="4" width="20.85546875" customWidth="1"/>
    <col min="5" max="5" width="22.85546875" customWidth="1"/>
    <col min="6" max="6" width="17.140625" customWidth="1"/>
  </cols>
  <sheetData>
    <row r="1" spans="1:6" ht="21.75" customHeight="1" x14ac:dyDescent="0.25">
      <c r="A1" s="58" t="s">
        <v>281</v>
      </c>
      <c r="B1" s="59" t="s">
        <v>69</v>
      </c>
      <c r="C1" s="59" t="s">
        <v>71</v>
      </c>
      <c r="D1" s="59" t="s">
        <v>72</v>
      </c>
      <c r="E1" s="59" t="s">
        <v>276</v>
      </c>
      <c r="F1" s="60" t="s">
        <v>70</v>
      </c>
    </row>
    <row r="2" spans="1:6" x14ac:dyDescent="0.25">
      <c r="A2" s="56">
        <v>194</v>
      </c>
      <c r="B2" s="52" t="s">
        <v>295</v>
      </c>
      <c r="C2" s="52" t="s">
        <v>73</v>
      </c>
      <c r="D2" s="53" t="s">
        <v>171</v>
      </c>
      <c r="E2" s="52" t="s">
        <v>280</v>
      </c>
      <c r="F2" s="57">
        <v>14903</v>
      </c>
    </row>
    <row r="3" spans="1:6" x14ac:dyDescent="0.25">
      <c r="A3" s="56">
        <v>100</v>
      </c>
      <c r="B3" s="52" t="s">
        <v>284</v>
      </c>
      <c r="C3" s="52" t="s">
        <v>73</v>
      </c>
      <c r="D3" s="53" t="s">
        <v>77</v>
      </c>
      <c r="E3" s="52" t="s">
        <v>277</v>
      </c>
      <c r="F3" s="57">
        <v>17954</v>
      </c>
    </row>
    <row r="4" spans="1:6" x14ac:dyDescent="0.25">
      <c r="A4" s="56">
        <v>288</v>
      </c>
      <c r="B4" s="52" t="s">
        <v>308</v>
      </c>
      <c r="C4" s="52" t="s">
        <v>73</v>
      </c>
      <c r="D4" s="53" t="s">
        <v>265</v>
      </c>
      <c r="E4" s="52" t="s">
        <v>278</v>
      </c>
      <c r="F4" s="57">
        <v>18602</v>
      </c>
    </row>
    <row r="5" spans="1:6" x14ac:dyDescent="0.25">
      <c r="A5" s="56">
        <v>133</v>
      </c>
      <c r="B5" s="52" t="s">
        <v>313</v>
      </c>
      <c r="C5" s="52" t="s">
        <v>73</v>
      </c>
      <c r="D5" s="53" t="s">
        <v>110</v>
      </c>
      <c r="E5" s="52" t="s">
        <v>278</v>
      </c>
      <c r="F5" s="57">
        <v>12870</v>
      </c>
    </row>
    <row r="6" spans="1:6" x14ac:dyDescent="0.25">
      <c r="A6" s="56">
        <v>253</v>
      </c>
      <c r="B6" s="52" t="s">
        <v>313</v>
      </c>
      <c r="C6" s="52" t="s">
        <v>73</v>
      </c>
      <c r="D6" s="53" t="s">
        <v>230</v>
      </c>
      <c r="E6" s="52" t="s">
        <v>278</v>
      </c>
      <c r="F6" s="57">
        <v>19399</v>
      </c>
    </row>
    <row r="7" spans="1:6" x14ac:dyDescent="0.25">
      <c r="A7" s="56">
        <v>103</v>
      </c>
      <c r="B7" s="52" t="s">
        <v>285</v>
      </c>
      <c r="C7" s="52" t="s">
        <v>73</v>
      </c>
      <c r="D7" s="53" t="s">
        <v>80</v>
      </c>
      <c r="E7" s="52" t="s">
        <v>278</v>
      </c>
      <c r="F7" s="57">
        <v>15475</v>
      </c>
    </row>
    <row r="8" spans="1:6" x14ac:dyDescent="0.25">
      <c r="A8" s="56">
        <v>143</v>
      </c>
      <c r="B8" s="52" t="s">
        <v>285</v>
      </c>
      <c r="C8" s="52" t="s">
        <v>73</v>
      </c>
      <c r="D8" s="53" t="s">
        <v>120</v>
      </c>
      <c r="E8" s="52" t="s">
        <v>277</v>
      </c>
      <c r="F8" s="57">
        <v>16051</v>
      </c>
    </row>
    <row r="9" spans="1:6" x14ac:dyDescent="0.25">
      <c r="A9" s="56">
        <v>263</v>
      </c>
      <c r="B9" s="52" t="s">
        <v>285</v>
      </c>
      <c r="C9" s="52" t="s">
        <v>73</v>
      </c>
      <c r="D9" s="53" t="s">
        <v>240</v>
      </c>
      <c r="E9" s="52" t="s">
        <v>278</v>
      </c>
      <c r="F9" s="57">
        <v>12556</v>
      </c>
    </row>
    <row r="10" spans="1:6" x14ac:dyDescent="0.25">
      <c r="A10" s="56">
        <v>246</v>
      </c>
      <c r="B10" s="52" t="s">
        <v>31</v>
      </c>
      <c r="C10" s="52" t="s">
        <v>73</v>
      </c>
      <c r="D10" s="53" t="s">
        <v>223</v>
      </c>
      <c r="E10" s="52" t="s">
        <v>277</v>
      </c>
      <c r="F10" s="57">
        <v>13755</v>
      </c>
    </row>
    <row r="11" spans="1:6" x14ac:dyDescent="0.25">
      <c r="A11" s="56">
        <v>286</v>
      </c>
      <c r="B11" s="52" t="s">
        <v>31</v>
      </c>
      <c r="C11" s="52" t="s">
        <v>73</v>
      </c>
      <c r="D11" s="53" t="s">
        <v>263</v>
      </c>
      <c r="E11" s="52" t="s">
        <v>279</v>
      </c>
      <c r="F11" s="57">
        <v>19495</v>
      </c>
    </row>
    <row r="12" spans="1:6" x14ac:dyDescent="0.25">
      <c r="A12" s="56">
        <v>181</v>
      </c>
      <c r="B12" s="52" t="s">
        <v>35</v>
      </c>
      <c r="C12" s="52" t="s">
        <v>73</v>
      </c>
      <c r="D12" s="53" t="s">
        <v>158</v>
      </c>
      <c r="E12" s="52" t="s">
        <v>278</v>
      </c>
      <c r="F12" s="57">
        <v>13644</v>
      </c>
    </row>
    <row r="13" spans="1:6" x14ac:dyDescent="0.25">
      <c r="A13" s="56">
        <v>221</v>
      </c>
      <c r="B13" s="52" t="s">
        <v>35</v>
      </c>
      <c r="C13" s="52" t="s">
        <v>73</v>
      </c>
      <c r="D13" s="53" t="s">
        <v>198</v>
      </c>
      <c r="E13" s="52" t="s">
        <v>278</v>
      </c>
      <c r="F13" s="57">
        <v>17561</v>
      </c>
    </row>
    <row r="14" spans="1:6" x14ac:dyDescent="0.25">
      <c r="A14" s="56">
        <v>261</v>
      </c>
      <c r="B14" s="52" t="s">
        <v>35</v>
      </c>
      <c r="C14" s="52" t="s">
        <v>73</v>
      </c>
      <c r="D14" s="53" t="s">
        <v>238</v>
      </c>
      <c r="E14" s="52" t="s">
        <v>280</v>
      </c>
      <c r="F14" s="57">
        <v>13946</v>
      </c>
    </row>
    <row r="15" spans="1:6" x14ac:dyDescent="0.25">
      <c r="A15" s="56">
        <v>148</v>
      </c>
      <c r="B15" s="52" t="s">
        <v>289</v>
      </c>
      <c r="C15" s="52" t="s">
        <v>73</v>
      </c>
      <c r="D15" s="53" t="s">
        <v>125</v>
      </c>
      <c r="E15" s="52" t="s">
        <v>279</v>
      </c>
      <c r="F15" s="57">
        <v>18014</v>
      </c>
    </row>
    <row r="16" spans="1:6" x14ac:dyDescent="0.25">
      <c r="A16" s="56">
        <v>247</v>
      </c>
      <c r="B16" s="52" t="s">
        <v>307</v>
      </c>
      <c r="C16" s="52" t="s">
        <v>73</v>
      </c>
      <c r="D16" s="53" t="s">
        <v>224</v>
      </c>
      <c r="E16" s="52" t="s">
        <v>279</v>
      </c>
      <c r="F16" s="57">
        <v>12956</v>
      </c>
    </row>
    <row r="17" spans="1:6" x14ac:dyDescent="0.25">
      <c r="A17" s="56">
        <v>125</v>
      </c>
      <c r="B17" s="52" t="s">
        <v>306</v>
      </c>
      <c r="C17" s="52" t="s">
        <v>73</v>
      </c>
      <c r="D17" s="53" t="s">
        <v>102</v>
      </c>
      <c r="E17" s="52" t="s">
        <v>278</v>
      </c>
      <c r="F17" s="57">
        <v>18563</v>
      </c>
    </row>
    <row r="18" spans="1:6" x14ac:dyDescent="0.25">
      <c r="A18" s="56">
        <v>205</v>
      </c>
      <c r="B18" s="52" t="s">
        <v>306</v>
      </c>
      <c r="C18" s="52" t="s">
        <v>73</v>
      </c>
      <c r="D18" s="53" t="s">
        <v>182</v>
      </c>
      <c r="E18" s="52" t="s">
        <v>277</v>
      </c>
      <c r="F18" s="57">
        <v>14853</v>
      </c>
    </row>
    <row r="19" spans="1:6" x14ac:dyDescent="0.25">
      <c r="A19" s="56">
        <v>178</v>
      </c>
      <c r="B19" s="52" t="s">
        <v>318</v>
      </c>
      <c r="C19" s="52" t="s">
        <v>73</v>
      </c>
      <c r="D19" s="53" t="s">
        <v>155</v>
      </c>
      <c r="E19" s="52" t="s">
        <v>280</v>
      </c>
      <c r="F19" s="57">
        <v>17207</v>
      </c>
    </row>
    <row r="20" spans="1:6" x14ac:dyDescent="0.25">
      <c r="A20" s="56">
        <v>258</v>
      </c>
      <c r="B20" s="52" t="s">
        <v>318</v>
      </c>
      <c r="C20" s="52" t="s">
        <v>73</v>
      </c>
      <c r="D20" s="53" t="s">
        <v>235</v>
      </c>
      <c r="E20" s="52" t="s">
        <v>280</v>
      </c>
      <c r="F20" s="57">
        <v>13684</v>
      </c>
    </row>
    <row r="21" spans="1:6" x14ac:dyDescent="0.25">
      <c r="A21" s="56">
        <v>270</v>
      </c>
      <c r="B21" s="52" t="s">
        <v>291</v>
      </c>
      <c r="C21" s="52" t="s">
        <v>73</v>
      </c>
      <c r="D21" s="53" t="s">
        <v>247</v>
      </c>
      <c r="E21" s="52" t="s">
        <v>279</v>
      </c>
      <c r="F21" s="57">
        <v>12238</v>
      </c>
    </row>
    <row r="22" spans="1:6" x14ac:dyDescent="0.25">
      <c r="A22" s="56">
        <v>250</v>
      </c>
      <c r="B22" s="52" t="s">
        <v>310</v>
      </c>
      <c r="C22" s="52" t="s">
        <v>73</v>
      </c>
      <c r="D22" s="53" t="s">
        <v>227</v>
      </c>
      <c r="E22" s="52" t="s">
        <v>279</v>
      </c>
      <c r="F22" s="57">
        <v>15422</v>
      </c>
    </row>
    <row r="23" spans="1:6" x14ac:dyDescent="0.25">
      <c r="A23" s="56">
        <v>233</v>
      </c>
      <c r="B23" s="52" t="s">
        <v>294</v>
      </c>
      <c r="C23" s="52" t="s">
        <v>73</v>
      </c>
      <c r="D23" s="53" t="s">
        <v>210</v>
      </c>
      <c r="E23" s="52" t="s">
        <v>279</v>
      </c>
      <c r="F23" s="57">
        <v>13435</v>
      </c>
    </row>
    <row r="24" spans="1:6" x14ac:dyDescent="0.25">
      <c r="A24" s="56">
        <v>273</v>
      </c>
      <c r="B24" s="52" t="s">
        <v>294</v>
      </c>
      <c r="C24" s="52" t="s">
        <v>73</v>
      </c>
      <c r="D24" s="53" t="s">
        <v>250</v>
      </c>
      <c r="E24" s="52" t="s">
        <v>279</v>
      </c>
      <c r="F24" s="57">
        <v>17496</v>
      </c>
    </row>
    <row r="25" spans="1:6" x14ac:dyDescent="0.25">
      <c r="A25" s="56">
        <v>277</v>
      </c>
      <c r="B25" s="52" t="s">
        <v>298</v>
      </c>
      <c r="C25" s="52" t="s">
        <v>73</v>
      </c>
      <c r="D25" s="53" t="s">
        <v>254</v>
      </c>
      <c r="E25" s="52" t="s">
        <v>280</v>
      </c>
      <c r="F25" s="57">
        <v>17613</v>
      </c>
    </row>
    <row r="26" spans="1:6" x14ac:dyDescent="0.25">
      <c r="A26" s="56">
        <v>160</v>
      </c>
      <c r="B26" s="52" t="s">
        <v>301</v>
      </c>
      <c r="C26" s="52" t="s">
        <v>73</v>
      </c>
      <c r="D26" s="53" t="s">
        <v>137</v>
      </c>
      <c r="E26" s="52" t="s">
        <v>277</v>
      </c>
      <c r="F26" s="57">
        <v>15170</v>
      </c>
    </row>
    <row r="27" spans="1:6" x14ac:dyDescent="0.25">
      <c r="A27" s="56">
        <v>142</v>
      </c>
      <c r="B27" s="52" t="s">
        <v>32</v>
      </c>
      <c r="C27" s="52" t="s">
        <v>73</v>
      </c>
      <c r="D27" s="53" t="s">
        <v>119</v>
      </c>
      <c r="E27" s="52" t="s">
        <v>278</v>
      </c>
      <c r="F27" s="57">
        <v>15813</v>
      </c>
    </row>
    <row r="28" spans="1:6" x14ac:dyDescent="0.25">
      <c r="A28" s="56">
        <v>216</v>
      </c>
      <c r="B28" s="52" t="s">
        <v>316</v>
      </c>
      <c r="C28" s="52" t="s">
        <v>73</v>
      </c>
      <c r="D28" s="53" t="s">
        <v>193</v>
      </c>
      <c r="E28" s="52" t="s">
        <v>280</v>
      </c>
      <c r="F28" s="57">
        <v>19817</v>
      </c>
    </row>
    <row r="29" spans="1:6" x14ac:dyDescent="0.25">
      <c r="A29" s="56">
        <v>296</v>
      </c>
      <c r="B29" s="52" t="s">
        <v>316</v>
      </c>
      <c r="C29" s="52" t="s">
        <v>73</v>
      </c>
      <c r="D29" s="53" t="s">
        <v>272</v>
      </c>
      <c r="E29" s="52" t="s">
        <v>278</v>
      </c>
      <c r="F29" s="57">
        <v>17370</v>
      </c>
    </row>
    <row r="30" spans="1:6" x14ac:dyDescent="0.25">
      <c r="A30" s="56">
        <v>134</v>
      </c>
      <c r="B30" s="52" t="s">
        <v>314</v>
      </c>
      <c r="C30" s="52" t="s">
        <v>73</v>
      </c>
      <c r="D30" s="53" t="s">
        <v>111</v>
      </c>
      <c r="E30" s="52" t="s">
        <v>279</v>
      </c>
      <c r="F30" s="57">
        <v>18036</v>
      </c>
    </row>
    <row r="31" spans="1:6" x14ac:dyDescent="0.25">
      <c r="A31" s="56">
        <v>174</v>
      </c>
      <c r="B31" s="52" t="s">
        <v>314</v>
      </c>
      <c r="C31" s="52" t="s">
        <v>73</v>
      </c>
      <c r="D31" s="53" t="s">
        <v>151</v>
      </c>
      <c r="E31" s="52" t="s">
        <v>278</v>
      </c>
      <c r="F31" s="57">
        <v>19099</v>
      </c>
    </row>
    <row r="32" spans="1:6" x14ac:dyDescent="0.25">
      <c r="A32" s="56">
        <v>214</v>
      </c>
      <c r="B32" s="52" t="s">
        <v>314</v>
      </c>
      <c r="C32" s="52" t="s">
        <v>73</v>
      </c>
      <c r="D32" s="53" t="s">
        <v>191</v>
      </c>
      <c r="E32" s="52" t="s">
        <v>279</v>
      </c>
      <c r="F32" s="57">
        <v>16170</v>
      </c>
    </row>
    <row r="33" spans="1:6" x14ac:dyDescent="0.25">
      <c r="A33" s="56">
        <v>294</v>
      </c>
      <c r="B33" s="52" t="s">
        <v>314</v>
      </c>
      <c r="C33" s="52" t="s">
        <v>73</v>
      </c>
      <c r="D33" s="53" t="s">
        <v>270</v>
      </c>
      <c r="E33" s="52" t="s">
        <v>279</v>
      </c>
      <c r="F33" s="57">
        <v>17806</v>
      </c>
    </row>
    <row r="34" spans="1:6" x14ac:dyDescent="0.25">
      <c r="A34" s="56">
        <v>224</v>
      </c>
      <c r="B34" s="52" t="s">
        <v>76</v>
      </c>
      <c r="C34" s="52" t="s">
        <v>73</v>
      </c>
      <c r="D34" s="53" t="s">
        <v>201</v>
      </c>
      <c r="E34" s="52" t="s">
        <v>280</v>
      </c>
      <c r="F34" s="57">
        <v>14244</v>
      </c>
    </row>
    <row r="35" spans="1:6" x14ac:dyDescent="0.25">
      <c r="A35" s="56">
        <v>164</v>
      </c>
      <c r="B35" s="52" t="s">
        <v>305</v>
      </c>
      <c r="C35" s="52" t="s">
        <v>73</v>
      </c>
      <c r="D35" s="53" t="s">
        <v>141</v>
      </c>
      <c r="E35" s="52" t="s">
        <v>280</v>
      </c>
      <c r="F35" s="57">
        <v>13887</v>
      </c>
    </row>
    <row r="36" spans="1:6" x14ac:dyDescent="0.25">
      <c r="A36" s="56">
        <v>204</v>
      </c>
      <c r="B36" s="52" t="s">
        <v>305</v>
      </c>
      <c r="C36" s="52" t="s">
        <v>73</v>
      </c>
      <c r="D36" s="53" t="s">
        <v>181</v>
      </c>
      <c r="E36" s="52" t="s">
        <v>277</v>
      </c>
      <c r="F36" s="57">
        <v>14488</v>
      </c>
    </row>
    <row r="37" spans="1:6" x14ac:dyDescent="0.25">
      <c r="A37" s="56">
        <v>284</v>
      </c>
      <c r="B37" s="52" t="s">
        <v>305</v>
      </c>
      <c r="C37" s="52" t="s">
        <v>73</v>
      </c>
      <c r="D37" s="53" t="s">
        <v>261</v>
      </c>
      <c r="E37" s="52" t="s">
        <v>280</v>
      </c>
      <c r="F37" s="57">
        <v>18927</v>
      </c>
    </row>
    <row r="38" spans="1:6" x14ac:dyDescent="0.25">
      <c r="A38" s="56">
        <v>151</v>
      </c>
      <c r="B38" s="52" t="s">
        <v>292</v>
      </c>
      <c r="C38" s="52" t="s">
        <v>73</v>
      </c>
      <c r="D38" s="53" t="s">
        <v>128</v>
      </c>
      <c r="E38" s="52" t="s">
        <v>277</v>
      </c>
      <c r="F38" s="57">
        <v>19597</v>
      </c>
    </row>
    <row r="39" spans="1:6" x14ac:dyDescent="0.25">
      <c r="A39" s="56">
        <v>271</v>
      </c>
      <c r="B39" s="52" t="s">
        <v>292</v>
      </c>
      <c r="C39" s="52" t="s">
        <v>73</v>
      </c>
      <c r="D39" s="53" t="s">
        <v>248</v>
      </c>
      <c r="E39" s="52" t="s">
        <v>279</v>
      </c>
      <c r="F39" s="57">
        <v>12517</v>
      </c>
    </row>
    <row r="40" spans="1:6" x14ac:dyDescent="0.25">
      <c r="A40" s="56">
        <v>156</v>
      </c>
      <c r="B40" s="52" t="s">
        <v>297</v>
      </c>
      <c r="C40" s="52" t="s">
        <v>73</v>
      </c>
      <c r="D40" s="53" t="s">
        <v>133</v>
      </c>
      <c r="E40" s="52" t="s">
        <v>277</v>
      </c>
      <c r="F40" s="57">
        <v>13670</v>
      </c>
    </row>
    <row r="41" spans="1:6" x14ac:dyDescent="0.25">
      <c r="A41" s="56">
        <v>236</v>
      </c>
      <c r="B41" s="52" t="s">
        <v>297</v>
      </c>
      <c r="C41" s="52" t="s">
        <v>73</v>
      </c>
      <c r="D41" s="53" t="s">
        <v>213</v>
      </c>
      <c r="E41" s="52" t="s">
        <v>279</v>
      </c>
      <c r="F41" s="57">
        <v>18269</v>
      </c>
    </row>
    <row r="42" spans="1:6" x14ac:dyDescent="0.25">
      <c r="A42" s="56">
        <v>159</v>
      </c>
      <c r="B42" s="52" t="s">
        <v>300</v>
      </c>
      <c r="C42" s="52" t="s">
        <v>73</v>
      </c>
      <c r="D42" s="53" t="s">
        <v>136</v>
      </c>
      <c r="E42" s="52" t="s">
        <v>278</v>
      </c>
      <c r="F42" s="57">
        <v>13489</v>
      </c>
    </row>
    <row r="43" spans="1:6" x14ac:dyDescent="0.25">
      <c r="A43" s="56">
        <v>279</v>
      </c>
      <c r="B43" s="52" t="s">
        <v>300</v>
      </c>
      <c r="C43" s="52" t="s">
        <v>73</v>
      </c>
      <c r="D43" s="53" t="s">
        <v>256</v>
      </c>
      <c r="E43" s="52" t="s">
        <v>278</v>
      </c>
      <c r="F43" s="57">
        <v>16539</v>
      </c>
    </row>
    <row r="44" spans="1:6" x14ac:dyDescent="0.25">
      <c r="A44" s="56">
        <v>187</v>
      </c>
      <c r="B44" s="52" t="s">
        <v>288</v>
      </c>
      <c r="C44" s="52" t="s">
        <v>73</v>
      </c>
      <c r="D44" s="53" t="s">
        <v>164</v>
      </c>
      <c r="E44" s="52" t="s">
        <v>279</v>
      </c>
      <c r="F44" s="57">
        <v>19948</v>
      </c>
    </row>
    <row r="45" spans="1:6" x14ac:dyDescent="0.25">
      <c r="A45" s="56">
        <v>243</v>
      </c>
      <c r="B45" s="52" t="s">
        <v>304</v>
      </c>
      <c r="C45" s="52" t="s">
        <v>73</v>
      </c>
      <c r="D45" s="53" t="s">
        <v>220</v>
      </c>
      <c r="E45" s="52" t="s">
        <v>279</v>
      </c>
      <c r="F45" s="57">
        <v>19972</v>
      </c>
    </row>
    <row r="46" spans="1:6" x14ac:dyDescent="0.25">
      <c r="A46" s="56">
        <v>283</v>
      </c>
      <c r="B46" s="52" t="s">
        <v>304</v>
      </c>
      <c r="C46" s="52" t="s">
        <v>73</v>
      </c>
      <c r="D46" s="53" t="s">
        <v>260</v>
      </c>
      <c r="E46" s="52" t="s">
        <v>280</v>
      </c>
      <c r="F46" s="57">
        <v>16287</v>
      </c>
    </row>
    <row r="47" spans="1:6" x14ac:dyDescent="0.25">
      <c r="A47" s="56">
        <v>201</v>
      </c>
      <c r="B47" s="52" t="s">
        <v>302</v>
      </c>
      <c r="C47" s="52" t="s">
        <v>73</v>
      </c>
      <c r="D47" s="53" t="s">
        <v>178</v>
      </c>
      <c r="E47" s="52" t="s">
        <v>278</v>
      </c>
      <c r="F47" s="57">
        <v>17498</v>
      </c>
    </row>
    <row r="48" spans="1:6" x14ac:dyDescent="0.25">
      <c r="A48" s="56">
        <v>297</v>
      </c>
      <c r="B48" s="52" t="s">
        <v>317</v>
      </c>
      <c r="C48" s="52" t="s">
        <v>73</v>
      </c>
      <c r="D48" s="53" t="s">
        <v>273</v>
      </c>
      <c r="E48" s="52" t="s">
        <v>278</v>
      </c>
      <c r="F48" s="57">
        <v>19274</v>
      </c>
    </row>
    <row r="49" spans="1:6" x14ac:dyDescent="0.25">
      <c r="A49" s="56">
        <v>146</v>
      </c>
      <c r="B49" s="52" t="s">
        <v>287</v>
      </c>
      <c r="C49" s="52" t="s">
        <v>73</v>
      </c>
      <c r="D49" s="53" t="s">
        <v>123</v>
      </c>
      <c r="E49" s="52" t="s">
        <v>279</v>
      </c>
      <c r="F49" s="57">
        <v>15646</v>
      </c>
    </row>
    <row r="50" spans="1:6" x14ac:dyDescent="0.25">
      <c r="A50" s="56">
        <v>266</v>
      </c>
      <c r="B50" s="52" t="s">
        <v>287</v>
      </c>
      <c r="C50" s="52" t="s">
        <v>73</v>
      </c>
      <c r="D50" s="53" t="s">
        <v>243</v>
      </c>
      <c r="E50" s="52" t="s">
        <v>279</v>
      </c>
      <c r="F50" s="57">
        <v>12112</v>
      </c>
    </row>
    <row r="51" spans="1:6" x14ac:dyDescent="0.25">
      <c r="A51" s="56">
        <v>209</v>
      </c>
      <c r="B51" s="52" t="s">
        <v>309</v>
      </c>
      <c r="C51" s="52" t="s">
        <v>73</v>
      </c>
      <c r="D51" s="53" t="s">
        <v>186</v>
      </c>
      <c r="E51" s="52" t="s">
        <v>279</v>
      </c>
      <c r="F51" s="57">
        <v>18314</v>
      </c>
    </row>
    <row r="52" spans="1:6" x14ac:dyDescent="0.25">
      <c r="A52" s="56">
        <v>114</v>
      </c>
      <c r="B52" s="52" t="s">
        <v>295</v>
      </c>
      <c r="C52" s="52" t="s">
        <v>41</v>
      </c>
      <c r="D52" s="53" t="s">
        <v>91</v>
      </c>
      <c r="E52" s="52" t="s">
        <v>280</v>
      </c>
      <c r="F52" s="57">
        <v>15819</v>
      </c>
    </row>
    <row r="53" spans="1:6" x14ac:dyDescent="0.25">
      <c r="A53" s="56">
        <v>154</v>
      </c>
      <c r="B53" s="52" t="s">
        <v>295</v>
      </c>
      <c r="C53" s="52" t="s">
        <v>41</v>
      </c>
      <c r="D53" s="53" t="s">
        <v>131</v>
      </c>
      <c r="E53" s="52" t="s">
        <v>279</v>
      </c>
      <c r="F53" s="57">
        <v>15365</v>
      </c>
    </row>
    <row r="54" spans="1:6" x14ac:dyDescent="0.25">
      <c r="A54" s="56">
        <v>234</v>
      </c>
      <c r="B54" s="52" t="s">
        <v>295</v>
      </c>
      <c r="C54" s="52" t="s">
        <v>41</v>
      </c>
      <c r="D54" s="53" t="s">
        <v>211</v>
      </c>
      <c r="E54" s="52" t="s">
        <v>277</v>
      </c>
      <c r="F54" s="57">
        <v>18990</v>
      </c>
    </row>
    <row r="55" spans="1:6" x14ac:dyDescent="0.25">
      <c r="A55" s="56">
        <v>274</v>
      </c>
      <c r="B55" s="52" t="s">
        <v>295</v>
      </c>
      <c r="C55" s="52" t="s">
        <v>41</v>
      </c>
      <c r="D55" s="53" t="s">
        <v>251</v>
      </c>
      <c r="E55" s="52" t="s">
        <v>277</v>
      </c>
      <c r="F55" s="57">
        <v>16369</v>
      </c>
    </row>
    <row r="56" spans="1:6" x14ac:dyDescent="0.25">
      <c r="A56" s="56">
        <v>140</v>
      </c>
      <c r="B56" s="52" t="s">
        <v>284</v>
      </c>
      <c r="C56" s="52" t="s">
        <v>41</v>
      </c>
      <c r="D56" s="53" t="s">
        <v>117</v>
      </c>
      <c r="E56" s="52" t="s">
        <v>280</v>
      </c>
      <c r="F56" s="57">
        <v>15149</v>
      </c>
    </row>
    <row r="57" spans="1:6" x14ac:dyDescent="0.25">
      <c r="A57" s="56">
        <v>180</v>
      </c>
      <c r="B57" s="52" t="s">
        <v>284</v>
      </c>
      <c r="C57" s="52" t="s">
        <v>41</v>
      </c>
      <c r="D57" s="53" t="s">
        <v>157</v>
      </c>
      <c r="E57" s="52" t="s">
        <v>277</v>
      </c>
      <c r="F57" s="57">
        <v>19430</v>
      </c>
    </row>
    <row r="58" spans="1:6" x14ac:dyDescent="0.25">
      <c r="A58" s="56">
        <v>168</v>
      </c>
      <c r="B58" s="52" t="s">
        <v>308</v>
      </c>
      <c r="C58" s="52" t="s">
        <v>41</v>
      </c>
      <c r="D58" s="53" t="s">
        <v>145</v>
      </c>
      <c r="E58" s="52" t="s">
        <v>278</v>
      </c>
      <c r="F58" s="57">
        <v>18471</v>
      </c>
    </row>
    <row r="59" spans="1:6" x14ac:dyDescent="0.25">
      <c r="A59" s="56">
        <v>208</v>
      </c>
      <c r="B59" s="52" t="s">
        <v>308</v>
      </c>
      <c r="C59" s="52" t="s">
        <v>41</v>
      </c>
      <c r="D59" s="53" t="s">
        <v>185</v>
      </c>
      <c r="E59" s="52" t="s">
        <v>279</v>
      </c>
      <c r="F59" s="57">
        <v>15881</v>
      </c>
    </row>
    <row r="60" spans="1:6" x14ac:dyDescent="0.25">
      <c r="A60" s="56">
        <v>213</v>
      </c>
      <c r="B60" s="52" t="s">
        <v>313</v>
      </c>
      <c r="C60" s="52" t="s">
        <v>41</v>
      </c>
      <c r="D60" s="53" t="s">
        <v>190</v>
      </c>
      <c r="E60" s="52" t="s">
        <v>277</v>
      </c>
      <c r="F60" s="57">
        <v>15813</v>
      </c>
    </row>
    <row r="61" spans="1:6" x14ac:dyDescent="0.25">
      <c r="A61" s="56">
        <v>183</v>
      </c>
      <c r="B61" s="52" t="s">
        <v>285</v>
      </c>
      <c r="C61" s="52" t="s">
        <v>41</v>
      </c>
      <c r="D61" s="53" t="s">
        <v>160</v>
      </c>
      <c r="E61" s="52" t="s">
        <v>278</v>
      </c>
      <c r="F61" s="57">
        <v>14354</v>
      </c>
    </row>
    <row r="62" spans="1:6" x14ac:dyDescent="0.25">
      <c r="A62" s="56">
        <v>223</v>
      </c>
      <c r="B62" s="52" t="s">
        <v>285</v>
      </c>
      <c r="C62" s="52" t="s">
        <v>41</v>
      </c>
      <c r="D62" s="53" t="s">
        <v>200</v>
      </c>
      <c r="E62" s="52" t="s">
        <v>279</v>
      </c>
      <c r="F62" s="57">
        <v>13889</v>
      </c>
    </row>
    <row r="63" spans="1:6" x14ac:dyDescent="0.25">
      <c r="A63" s="56">
        <v>259</v>
      </c>
      <c r="B63" s="52" t="s">
        <v>319</v>
      </c>
      <c r="C63" s="52" t="s">
        <v>41</v>
      </c>
      <c r="D63" s="53" t="s">
        <v>236</v>
      </c>
      <c r="E63" s="52" t="s">
        <v>280</v>
      </c>
      <c r="F63" s="57">
        <v>17204</v>
      </c>
    </row>
    <row r="64" spans="1:6" x14ac:dyDescent="0.25">
      <c r="A64" s="56">
        <v>141</v>
      </c>
      <c r="B64" s="52" t="s">
        <v>35</v>
      </c>
      <c r="C64" s="52" t="s">
        <v>41</v>
      </c>
      <c r="D64" s="53" t="s">
        <v>118</v>
      </c>
      <c r="E64" s="52" t="s">
        <v>279</v>
      </c>
      <c r="F64" s="57">
        <v>15315</v>
      </c>
    </row>
    <row r="65" spans="1:6" x14ac:dyDescent="0.25">
      <c r="A65" s="56">
        <v>162</v>
      </c>
      <c r="B65" s="52" t="s">
        <v>303</v>
      </c>
      <c r="C65" s="52" t="s">
        <v>41</v>
      </c>
      <c r="D65" s="53" t="s">
        <v>139</v>
      </c>
      <c r="E65" s="52" t="s">
        <v>277</v>
      </c>
      <c r="F65" s="57">
        <v>18216</v>
      </c>
    </row>
    <row r="66" spans="1:6" x14ac:dyDescent="0.25">
      <c r="A66" s="56">
        <v>268</v>
      </c>
      <c r="B66" s="52" t="s">
        <v>289</v>
      </c>
      <c r="C66" s="52" t="s">
        <v>41</v>
      </c>
      <c r="D66" s="53" t="s">
        <v>245</v>
      </c>
      <c r="E66" s="52" t="s">
        <v>278</v>
      </c>
      <c r="F66" s="57">
        <v>15660</v>
      </c>
    </row>
    <row r="67" spans="1:6" x14ac:dyDescent="0.25">
      <c r="A67" s="56">
        <v>287</v>
      </c>
      <c r="B67" s="52" t="s">
        <v>307</v>
      </c>
      <c r="C67" s="52" t="s">
        <v>41</v>
      </c>
      <c r="D67" s="53" t="s">
        <v>264</v>
      </c>
      <c r="E67" s="52" t="s">
        <v>278</v>
      </c>
      <c r="F67" s="57">
        <v>14270</v>
      </c>
    </row>
    <row r="68" spans="1:6" x14ac:dyDescent="0.25">
      <c r="A68" s="56">
        <v>285</v>
      </c>
      <c r="B68" s="52" t="s">
        <v>306</v>
      </c>
      <c r="C68" s="52" t="s">
        <v>41</v>
      </c>
      <c r="D68" s="53" t="s">
        <v>262</v>
      </c>
      <c r="E68" s="52" t="s">
        <v>280</v>
      </c>
      <c r="F68" s="57">
        <v>19512</v>
      </c>
    </row>
    <row r="69" spans="1:6" x14ac:dyDescent="0.25">
      <c r="A69" s="56">
        <v>218</v>
      </c>
      <c r="B69" s="52" t="s">
        <v>318</v>
      </c>
      <c r="C69" s="52" t="s">
        <v>41</v>
      </c>
      <c r="D69" s="53" t="s">
        <v>195</v>
      </c>
      <c r="E69" s="52" t="s">
        <v>278</v>
      </c>
      <c r="F69" s="57">
        <v>18718</v>
      </c>
    </row>
    <row r="70" spans="1:6" x14ac:dyDescent="0.25">
      <c r="A70" s="56">
        <v>185</v>
      </c>
      <c r="B70" s="52" t="s">
        <v>286</v>
      </c>
      <c r="C70" s="52" t="s">
        <v>41</v>
      </c>
      <c r="D70" s="53" t="s">
        <v>162</v>
      </c>
      <c r="E70" s="52" t="s">
        <v>277</v>
      </c>
      <c r="F70" s="57">
        <v>15872</v>
      </c>
    </row>
    <row r="71" spans="1:6" x14ac:dyDescent="0.25">
      <c r="A71" s="56">
        <v>265</v>
      </c>
      <c r="B71" s="52" t="s">
        <v>286</v>
      </c>
      <c r="C71" s="52" t="s">
        <v>41</v>
      </c>
      <c r="D71" s="53" t="s">
        <v>242</v>
      </c>
      <c r="E71" s="52" t="s">
        <v>278</v>
      </c>
      <c r="F71" s="57">
        <v>18159</v>
      </c>
    </row>
    <row r="72" spans="1:6" x14ac:dyDescent="0.25">
      <c r="A72" s="56">
        <v>130</v>
      </c>
      <c r="B72" s="52" t="s">
        <v>310</v>
      </c>
      <c r="C72" s="52" t="s">
        <v>41</v>
      </c>
      <c r="D72" s="53" t="s">
        <v>107</v>
      </c>
      <c r="E72" s="52" t="s">
        <v>280</v>
      </c>
      <c r="F72" s="57">
        <v>12962</v>
      </c>
    </row>
    <row r="73" spans="1:6" x14ac:dyDescent="0.25">
      <c r="A73" s="56">
        <v>210</v>
      </c>
      <c r="B73" s="52" t="s">
        <v>310</v>
      </c>
      <c r="C73" s="52" t="s">
        <v>41</v>
      </c>
      <c r="D73" s="53" t="s">
        <v>187</v>
      </c>
      <c r="E73" s="52" t="s">
        <v>277</v>
      </c>
      <c r="F73" s="57">
        <v>16544</v>
      </c>
    </row>
    <row r="74" spans="1:6" x14ac:dyDescent="0.25">
      <c r="A74" s="56">
        <v>290</v>
      </c>
      <c r="B74" s="52" t="s">
        <v>310</v>
      </c>
      <c r="C74" s="52" t="s">
        <v>41</v>
      </c>
      <c r="D74" s="53" t="s">
        <v>266</v>
      </c>
      <c r="E74" s="52" t="s">
        <v>279</v>
      </c>
      <c r="F74" s="57">
        <v>14597</v>
      </c>
    </row>
    <row r="75" spans="1:6" x14ac:dyDescent="0.25">
      <c r="A75" s="56">
        <v>131</v>
      </c>
      <c r="B75" s="52" t="s">
        <v>311</v>
      </c>
      <c r="C75" s="52" t="s">
        <v>41</v>
      </c>
      <c r="D75" s="53" t="s">
        <v>108</v>
      </c>
      <c r="E75" s="52" t="s">
        <v>280</v>
      </c>
      <c r="F75" s="57">
        <v>16558</v>
      </c>
    </row>
    <row r="76" spans="1:6" x14ac:dyDescent="0.25">
      <c r="A76" s="56">
        <v>157</v>
      </c>
      <c r="B76" s="52" t="s">
        <v>298</v>
      </c>
      <c r="C76" s="52" t="s">
        <v>41</v>
      </c>
      <c r="D76" s="53" t="s">
        <v>134</v>
      </c>
      <c r="E76" s="52" t="s">
        <v>277</v>
      </c>
      <c r="F76" s="57">
        <v>15545</v>
      </c>
    </row>
    <row r="77" spans="1:6" x14ac:dyDescent="0.25">
      <c r="A77" s="56">
        <v>197</v>
      </c>
      <c r="B77" s="52" t="s">
        <v>298</v>
      </c>
      <c r="C77" s="52" t="s">
        <v>41</v>
      </c>
      <c r="D77" s="53" t="s">
        <v>174</v>
      </c>
      <c r="E77" s="52" t="s">
        <v>280</v>
      </c>
      <c r="F77" s="57">
        <v>12636</v>
      </c>
    </row>
    <row r="78" spans="1:6" x14ac:dyDescent="0.25">
      <c r="A78" s="56">
        <v>109</v>
      </c>
      <c r="B78" s="52" t="s">
        <v>290</v>
      </c>
      <c r="C78" s="52" t="s">
        <v>41</v>
      </c>
      <c r="D78" s="53" t="s">
        <v>86</v>
      </c>
      <c r="E78" s="52" t="s">
        <v>277</v>
      </c>
      <c r="F78" s="57">
        <v>17735</v>
      </c>
    </row>
    <row r="79" spans="1:6" x14ac:dyDescent="0.25">
      <c r="A79" s="56">
        <v>176</v>
      </c>
      <c r="B79" s="52" t="s">
        <v>316</v>
      </c>
      <c r="C79" s="52" t="s">
        <v>41</v>
      </c>
      <c r="D79" s="53" t="s">
        <v>153</v>
      </c>
      <c r="E79" s="52" t="s">
        <v>278</v>
      </c>
      <c r="F79" s="57">
        <v>17269</v>
      </c>
    </row>
    <row r="80" spans="1:6" x14ac:dyDescent="0.25">
      <c r="A80" s="56">
        <v>254</v>
      </c>
      <c r="B80" s="52" t="s">
        <v>314</v>
      </c>
      <c r="C80" s="52" t="s">
        <v>41</v>
      </c>
      <c r="D80" s="53" t="s">
        <v>231</v>
      </c>
      <c r="E80" s="52" t="s">
        <v>280</v>
      </c>
      <c r="F80" s="57">
        <v>19669</v>
      </c>
    </row>
    <row r="81" spans="1:6" x14ac:dyDescent="0.25">
      <c r="A81" s="56">
        <v>192</v>
      </c>
      <c r="B81" s="52" t="s">
        <v>293</v>
      </c>
      <c r="C81" s="52" t="s">
        <v>41</v>
      </c>
      <c r="D81" s="53" t="s">
        <v>169</v>
      </c>
      <c r="E81" s="52" t="s">
        <v>280</v>
      </c>
      <c r="F81" s="57">
        <v>12245</v>
      </c>
    </row>
    <row r="82" spans="1:6" x14ac:dyDescent="0.25">
      <c r="A82" s="56">
        <v>115</v>
      </c>
      <c r="B82" s="52" t="s">
        <v>296</v>
      </c>
      <c r="C82" s="52" t="s">
        <v>41</v>
      </c>
      <c r="D82" s="53" t="s">
        <v>92</v>
      </c>
      <c r="E82" s="52" t="s">
        <v>277</v>
      </c>
      <c r="F82" s="57">
        <v>15035</v>
      </c>
    </row>
    <row r="83" spans="1:6" x14ac:dyDescent="0.25">
      <c r="A83" s="56">
        <v>235</v>
      </c>
      <c r="B83" s="52" t="s">
        <v>296</v>
      </c>
      <c r="C83" s="52" t="s">
        <v>41</v>
      </c>
      <c r="D83" s="53" t="s">
        <v>212</v>
      </c>
      <c r="E83" s="52" t="s">
        <v>279</v>
      </c>
      <c r="F83" s="57">
        <v>15390</v>
      </c>
    </row>
    <row r="84" spans="1:6" x14ac:dyDescent="0.25">
      <c r="A84" s="56">
        <v>275</v>
      </c>
      <c r="B84" s="52" t="s">
        <v>296</v>
      </c>
      <c r="C84" s="52" t="s">
        <v>41</v>
      </c>
      <c r="D84" s="53" t="s">
        <v>252</v>
      </c>
      <c r="E84" s="52" t="s">
        <v>277</v>
      </c>
      <c r="F84" s="57">
        <v>19513</v>
      </c>
    </row>
    <row r="85" spans="1:6" x14ac:dyDescent="0.25">
      <c r="A85" s="56">
        <v>184</v>
      </c>
      <c r="B85" s="52" t="s">
        <v>76</v>
      </c>
      <c r="C85" s="52" t="s">
        <v>41</v>
      </c>
      <c r="D85" s="53" t="s">
        <v>161</v>
      </c>
      <c r="E85" s="52" t="s">
        <v>277</v>
      </c>
      <c r="F85" s="57">
        <v>13691</v>
      </c>
    </row>
    <row r="86" spans="1:6" x14ac:dyDescent="0.25">
      <c r="A86" s="56">
        <v>111</v>
      </c>
      <c r="B86" s="52" t="s">
        <v>292</v>
      </c>
      <c r="C86" s="52" t="s">
        <v>41</v>
      </c>
      <c r="D86" s="53" t="s">
        <v>88</v>
      </c>
      <c r="E86" s="52" t="s">
        <v>279</v>
      </c>
      <c r="F86" s="57">
        <v>12824</v>
      </c>
    </row>
    <row r="87" spans="1:6" x14ac:dyDescent="0.25">
      <c r="A87" s="56">
        <v>116</v>
      </c>
      <c r="B87" s="52" t="s">
        <v>297</v>
      </c>
      <c r="C87" s="52" t="s">
        <v>41</v>
      </c>
      <c r="D87" s="53" t="s">
        <v>93</v>
      </c>
      <c r="E87" s="52" t="s">
        <v>277</v>
      </c>
      <c r="F87" s="57">
        <v>17596</v>
      </c>
    </row>
    <row r="88" spans="1:6" x14ac:dyDescent="0.25">
      <c r="A88" s="56">
        <v>238</v>
      </c>
      <c r="B88" s="52" t="s">
        <v>299</v>
      </c>
      <c r="C88" s="52" t="s">
        <v>41</v>
      </c>
      <c r="D88" s="53" t="s">
        <v>215</v>
      </c>
      <c r="E88" s="52" t="s">
        <v>280</v>
      </c>
      <c r="F88" s="57">
        <v>16943</v>
      </c>
    </row>
    <row r="89" spans="1:6" x14ac:dyDescent="0.25">
      <c r="A89" s="56">
        <v>199</v>
      </c>
      <c r="B89" s="52" t="s">
        <v>300</v>
      </c>
      <c r="C89" s="52" t="s">
        <v>41</v>
      </c>
      <c r="D89" s="53" t="s">
        <v>176</v>
      </c>
      <c r="E89" s="52" t="s">
        <v>279</v>
      </c>
      <c r="F89" s="57">
        <v>13984</v>
      </c>
    </row>
    <row r="90" spans="1:6" x14ac:dyDescent="0.25">
      <c r="A90" s="56">
        <v>239</v>
      </c>
      <c r="B90" s="52" t="s">
        <v>300</v>
      </c>
      <c r="C90" s="52" t="s">
        <v>41</v>
      </c>
      <c r="D90" s="53" t="s">
        <v>216</v>
      </c>
      <c r="E90" s="52" t="s">
        <v>277</v>
      </c>
      <c r="F90" s="57">
        <v>14007</v>
      </c>
    </row>
    <row r="91" spans="1:6" x14ac:dyDescent="0.25">
      <c r="A91" s="56">
        <v>107</v>
      </c>
      <c r="B91" s="52" t="s">
        <v>288</v>
      </c>
      <c r="C91" s="52" t="s">
        <v>41</v>
      </c>
      <c r="D91" s="53" t="s">
        <v>84</v>
      </c>
      <c r="E91" s="52" t="s">
        <v>280</v>
      </c>
      <c r="F91" s="57">
        <v>16209</v>
      </c>
    </row>
    <row r="92" spans="1:6" x14ac:dyDescent="0.25">
      <c r="A92" s="56">
        <v>147</v>
      </c>
      <c r="B92" s="52" t="s">
        <v>288</v>
      </c>
      <c r="C92" s="52" t="s">
        <v>41</v>
      </c>
      <c r="D92" s="53" t="s">
        <v>124</v>
      </c>
      <c r="E92" s="52" t="s">
        <v>280</v>
      </c>
      <c r="F92" s="57">
        <v>17353</v>
      </c>
    </row>
    <row r="93" spans="1:6" x14ac:dyDescent="0.25">
      <c r="A93" s="56">
        <v>227</v>
      </c>
      <c r="B93" s="52" t="s">
        <v>288</v>
      </c>
      <c r="C93" s="52" t="s">
        <v>41</v>
      </c>
      <c r="D93" s="53" t="s">
        <v>204</v>
      </c>
      <c r="E93" s="52" t="s">
        <v>280</v>
      </c>
      <c r="F93" s="57">
        <v>15525</v>
      </c>
    </row>
    <row r="94" spans="1:6" x14ac:dyDescent="0.25">
      <c r="A94" s="56">
        <v>203</v>
      </c>
      <c r="B94" s="52" t="s">
        <v>304</v>
      </c>
      <c r="C94" s="52" t="s">
        <v>41</v>
      </c>
      <c r="D94" s="53" t="s">
        <v>180</v>
      </c>
      <c r="E94" s="52" t="s">
        <v>278</v>
      </c>
      <c r="F94" s="57">
        <v>17724</v>
      </c>
    </row>
    <row r="95" spans="1:6" x14ac:dyDescent="0.25">
      <c r="A95" s="56">
        <v>132</v>
      </c>
      <c r="B95" s="52" t="s">
        <v>312</v>
      </c>
      <c r="C95" s="52" t="s">
        <v>41</v>
      </c>
      <c r="D95" s="53" t="s">
        <v>109</v>
      </c>
      <c r="E95" s="52" t="s">
        <v>277</v>
      </c>
      <c r="F95" s="57">
        <v>13153</v>
      </c>
    </row>
    <row r="96" spans="1:6" x14ac:dyDescent="0.25">
      <c r="A96" s="56">
        <v>252</v>
      </c>
      <c r="B96" s="52" t="s">
        <v>312</v>
      </c>
      <c r="C96" s="52" t="s">
        <v>41</v>
      </c>
      <c r="D96" s="53" t="s">
        <v>229</v>
      </c>
      <c r="E96" s="52" t="s">
        <v>278</v>
      </c>
      <c r="F96" s="57">
        <v>14248</v>
      </c>
    </row>
    <row r="97" spans="1:6" x14ac:dyDescent="0.25">
      <c r="A97" s="56">
        <v>106</v>
      </c>
      <c r="B97" s="52" t="s">
        <v>287</v>
      </c>
      <c r="C97" s="52" t="s">
        <v>41</v>
      </c>
      <c r="D97" s="53" t="s">
        <v>83</v>
      </c>
      <c r="E97" s="52" t="s">
        <v>279</v>
      </c>
      <c r="F97" s="57">
        <v>18858</v>
      </c>
    </row>
    <row r="98" spans="1:6" x14ac:dyDescent="0.25">
      <c r="A98" s="56">
        <v>186</v>
      </c>
      <c r="B98" s="52" t="s">
        <v>287</v>
      </c>
      <c r="C98" s="52" t="s">
        <v>41</v>
      </c>
      <c r="D98" s="53" t="s">
        <v>163</v>
      </c>
      <c r="E98" s="52" t="s">
        <v>277</v>
      </c>
      <c r="F98" s="57">
        <v>19525</v>
      </c>
    </row>
    <row r="99" spans="1:6" x14ac:dyDescent="0.25">
      <c r="A99" s="56">
        <v>220</v>
      </c>
      <c r="B99" s="52" t="s">
        <v>284</v>
      </c>
      <c r="C99" s="52" t="s">
        <v>75</v>
      </c>
      <c r="D99" s="53" t="s">
        <v>197</v>
      </c>
      <c r="E99" s="52" t="s">
        <v>277</v>
      </c>
      <c r="F99" s="57">
        <v>14616</v>
      </c>
    </row>
    <row r="100" spans="1:6" x14ac:dyDescent="0.25">
      <c r="A100" s="56">
        <v>128</v>
      </c>
      <c r="B100" s="52" t="s">
        <v>308</v>
      </c>
      <c r="C100" s="52" t="s">
        <v>75</v>
      </c>
      <c r="D100" s="53" t="s">
        <v>105</v>
      </c>
      <c r="E100" s="52" t="s">
        <v>277</v>
      </c>
      <c r="F100" s="57">
        <v>13479</v>
      </c>
    </row>
    <row r="101" spans="1:6" x14ac:dyDescent="0.25">
      <c r="A101" s="56">
        <v>139</v>
      </c>
      <c r="B101" s="52" t="s">
        <v>319</v>
      </c>
      <c r="C101" s="52" t="s">
        <v>75</v>
      </c>
      <c r="D101" s="53" t="s">
        <v>116</v>
      </c>
      <c r="E101" s="52" t="s">
        <v>279</v>
      </c>
      <c r="F101" s="57">
        <v>13526</v>
      </c>
    </row>
    <row r="102" spans="1:6" x14ac:dyDescent="0.25">
      <c r="A102" s="56">
        <v>299</v>
      </c>
      <c r="B102" s="52" t="s">
        <v>319</v>
      </c>
      <c r="C102" s="52" t="s">
        <v>75</v>
      </c>
      <c r="D102" s="53" t="s">
        <v>275</v>
      </c>
      <c r="E102" s="52" t="s">
        <v>279</v>
      </c>
      <c r="F102" s="57">
        <v>19321</v>
      </c>
    </row>
    <row r="103" spans="1:6" x14ac:dyDescent="0.25">
      <c r="A103" s="56">
        <v>122</v>
      </c>
      <c r="B103" s="52" t="s">
        <v>303</v>
      </c>
      <c r="C103" s="52" t="s">
        <v>75</v>
      </c>
      <c r="D103" s="53" t="s">
        <v>99</v>
      </c>
      <c r="E103" s="52" t="s">
        <v>278</v>
      </c>
      <c r="F103" s="57">
        <v>14102</v>
      </c>
    </row>
    <row r="104" spans="1:6" x14ac:dyDescent="0.25">
      <c r="A104" s="56">
        <v>242</v>
      </c>
      <c r="B104" s="52" t="s">
        <v>303</v>
      </c>
      <c r="C104" s="52" t="s">
        <v>75</v>
      </c>
      <c r="D104" s="53" t="s">
        <v>219</v>
      </c>
      <c r="E104" s="52" t="s">
        <v>277</v>
      </c>
      <c r="F104" s="57">
        <v>13860</v>
      </c>
    </row>
    <row r="105" spans="1:6" x14ac:dyDescent="0.25">
      <c r="A105" s="56">
        <v>282</v>
      </c>
      <c r="B105" s="52" t="s">
        <v>303</v>
      </c>
      <c r="C105" s="52" t="s">
        <v>75</v>
      </c>
      <c r="D105" s="53" t="s">
        <v>259</v>
      </c>
      <c r="E105" s="52" t="s">
        <v>279</v>
      </c>
      <c r="F105" s="57">
        <v>19560</v>
      </c>
    </row>
    <row r="106" spans="1:6" x14ac:dyDescent="0.25">
      <c r="A106" s="56">
        <v>108</v>
      </c>
      <c r="B106" s="52" t="s">
        <v>289</v>
      </c>
      <c r="C106" s="52" t="s">
        <v>75</v>
      </c>
      <c r="D106" s="53" t="s">
        <v>85</v>
      </c>
      <c r="E106" s="52" t="s">
        <v>277</v>
      </c>
      <c r="F106" s="57">
        <v>13423</v>
      </c>
    </row>
    <row r="107" spans="1:6" x14ac:dyDescent="0.25">
      <c r="A107" s="56">
        <v>188</v>
      </c>
      <c r="B107" s="52" t="s">
        <v>289</v>
      </c>
      <c r="C107" s="52" t="s">
        <v>75</v>
      </c>
      <c r="D107" s="53" t="s">
        <v>165</v>
      </c>
      <c r="E107" s="52" t="s">
        <v>277</v>
      </c>
      <c r="F107" s="57">
        <v>17474</v>
      </c>
    </row>
    <row r="108" spans="1:6" x14ac:dyDescent="0.25">
      <c r="A108" s="56">
        <v>228</v>
      </c>
      <c r="B108" s="52" t="s">
        <v>289</v>
      </c>
      <c r="C108" s="52" t="s">
        <v>75</v>
      </c>
      <c r="D108" s="53" t="s">
        <v>205</v>
      </c>
      <c r="E108" s="52" t="s">
        <v>277</v>
      </c>
      <c r="F108" s="57">
        <v>12308</v>
      </c>
    </row>
    <row r="109" spans="1:6" x14ac:dyDescent="0.25">
      <c r="A109" s="56">
        <v>255</v>
      </c>
      <c r="B109" s="52" t="s">
        <v>315</v>
      </c>
      <c r="C109" s="52" t="s">
        <v>75</v>
      </c>
      <c r="D109" s="53" t="s">
        <v>232</v>
      </c>
      <c r="E109" s="52" t="s">
        <v>280</v>
      </c>
      <c r="F109" s="57">
        <v>17982</v>
      </c>
    </row>
    <row r="110" spans="1:6" x14ac:dyDescent="0.25">
      <c r="A110" s="56">
        <v>295</v>
      </c>
      <c r="B110" s="52" t="s">
        <v>315</v>
      </c>
      <c r="C110" s="52" t="s">
        <v>75</v>
      </c>
      <c r="D110" s="53" t="s">
        <v>271</v>
      </c>
      <c r="E110" s="52" t="s">
        <v>280</v>
      </c>
      <c r="F110" s="57">
        <v>18166</v>
      </c>
    </row>
    <row r="111" spans="1:6" x14ac:dyDescent="0.25">
      <c r="A111" s="56">
        <v>165</v>
      </c>
      <c r="B111" s="52" t="s">
        <v>306</v>
      </c>
      <c r="C111" s="52" t="s">
        <v>75</v>
      </c>
      <c r="D111" s="53" t="s">
        <v>142</v>
      </c>
      <c r="E111" s="52" t="s">
        <v>277</v>
      </c>
      <c r="F111" s="57">
        <v>19732</v>
      </c>
    </row>
    <row r="112" spans="1:6" x14ac:dyDescent="0.25">
      <c r="A112" s="56">
        <v>245</v>
      </c>
      <c r="B112" s="52" t="s">
        <v>306</v>
      </c>
      <c r="C112" s="52" t="s">
        <v>75</v>
      </c>
      <c r="D112" s="53" t="s">
        <v>222</v>
      </c>
      <c r="E112" s="52" t="s">
        <v>280</v>
      </c>
      <c r="F112" s="57">
        <v>16697</v>
      </c>
    </row>
    <row r="113" spans="1:6" x14ac:dyDescent="0.25">
      <c r="A113" s="56">
        <v>138</v>
      </c>
      <c r="B113" s="52" t="s">
        <v>318</v>
      </c>
      <c r="C113" s="52" t="s">
        <v>75</v>
      </c>
      <c r="D113" s="53" t="s">
        <v>115</v>
      </c>
      <c r="E113" s="52" t="s">
        <v>278</v>
      </c>
      <c r="F113" s="57">
        <v>18767</v>
      </c>
    </row>
    <row r="114" spans="1:6" x14ac:dyDescent="0.25">
      <c r="A114" s="56">
        <v>298</v>
      </c>
      <c r="B114" s="52" t="s">
        <v>318</v>
      </c>
      <c r="C114" s="52" t="s">
        <v>75</v>
      </c>
      <c r="D114" s="53" t="s">
        <v>274</v>
      </c>
      <c r="E114" s="52" t="s">
        <v>279</v>
      </c>
      <c r="F114" s="57">
        <v>14713</v>
      </c>
    </row>
    <row r="115" spans="1:6" x14ac:dyDescent="0.25">
      <c r="A115" s="56">
        <v>110</v>
      </c>
      <c r="B115" s="52" t="s">
        <v>291</v>
      </c>
      <c r="C115" s="52" t="s">
        <v>75</v>
      </c>
      <c r="D115" s="53" t="s">
        <v>87</v>
      </c>
      <c r="E115" s="52" t="s">
        <v>277</v>
      </c>
      <c r="F115" s="57">
        <v>19682</v>
      </c>
    </row>
    <row r="116" spans="1:6" x14ac:dyDescent="0.25">
      <c r="A116" s="56">
        <v>230</v>
      </c>
      <c r="B116" s="52" t="s">
        <v>291</v>
      </c>
      <c r="C116" s="52" t="s">
        <v>75</v>
      </c>
      <c r="D116" s="53" t="s">
        <v>207</v>
      </c>
      <c r="E116" s="52" t="s">
        <v>278</v>
      </c>
      <c r="F116" s="57">
        <v>19920</v>
      </c>
    </row>
    <row r="117" spans="1:6" x14ac:dyDescent="0.25">
      <c r="A117" s="56">
        <v>105</v>
      </c>
      <c r="B117" s="52" t="s">
        <v>286</v>
      </c>
      <c r="C117" s="52" t="s">
        <v>75</v>
      </c>
      <c r="D117" s="53" t="s">
        <v>82</v>
      </c>
      <c r="E117" s="52" t="s">
        <v>277</v>
      </c>
      <c r="F117" s="57">
        <v>19839</v>
      </c>
    </row>
    <row r="118" spans="1:6" x14ac:dyDescent="0.25">
      <c r="A118" s="56">
        <v>225</v>
      </c>
      <c r="B118" s="52" t="s">
        <v>286</v>
      </c>
      <c r="C118" s="52" t="s">
        <v>75</v>
      </c>
      <c r="D118" s="53" t="s">
        <v>202</v>
      </c>
      <c r="E118" s="52" t="s">
        <v>280</v>
      </c>
      <c r="F118" s="57">
        <v>15831</v>
      </c>
    </row>
    <row r="119" spans="1:6" x14ac:dyDescent="0.25">
      <c r="A119" s="56">
        <v>170</v>
      </c>
      <c r="B119" s="52" t="s">
        <v>310</v>
      </c>
      <c r="C119" s="52" t="s">
        <v>75</v>
      </c>
      <c r="D119" s="53" t="s">
        <v>147</v>
      </c>
      <c r="E119" s="52" t="s">
        <v>278</v>
      </c>
      <c r="F119" s="57">
        <v>16700</v>
      </c>
    </row>
    <row r="120" spans="1:6" x14ac:dyDescent="0.25">
      <c r="A120" s="56">
        <v>113</v>
      </c>
      <c r="B120" s="52" t="s">
        <v>294</v>
      </c>
      <c r="C120" s="52" t="s">
        <v>75</v>
      </c>
      <c r="D120" s="53" t="s">
        <v>90</v>
      </c>
      <c r="E120" s="52" t="s">
        <v>280</v>
      </c>
      <c r="F120" s="57">
        <v>13559</v>
      </c>
    </row>
    <row r="121" spans="1:6" x14ac:dyDescent="0.25">
      <c r="A121" s="56">
        <v>291</v>
      </c>
      <c r="B121" s="52" t="s">
        <v>311</v>
      </c>
      <c r="C121" s="52" t="s">
        <v>75</v>
      </c>
      <c r="D121" s="53" t="s">
        <v>267</v>
      </c>
      <c r="E121" s="52" t="s">
        <v>279</v>
      </c>
      <c r="F121" s="57">
        <v>17879</v>
      </c>
    </row>
    <row r="122" spans="1:6" x14ac:dyDescent="0.25">
      <c r="A122" s="56">
        <v>117</v>
      </c>
      <c r="B122" s="52" t="s">
        <v>298</v>
      </c>
      <c r="C122" s="52" t="s">
        <v>75</v>
      </c>
      <c r="D122" s="53" t="s">
        <v>94</v>
      </c>
      <c r="E122" s="52" t="s">
        <v>279</v>
      </c>
      <c r="F122" s="57">
        <v>18883</v>
      </c>
    </row>
    <row r="123" spans="1:6" x14ac:dyDescent="0.25">
      <c r="A123" s="56">
        <v>240</v>
      </c>
      <c r="B123" s="52" t="s">
        <v>301</v>
      </c>
      <c r="C123" s="52" t="s">
        <v>75</v>
      </c>
      <c r="D123" s="53" t="s">
        <v>217</v>
      </c>
      <c r="E123" s="52" t="s">
        <v>278</v>
      </c>
      <c r="F123" s="57">
        <v>15270</v>
      </c>
    </row>
    <row r="124" spans="1:6" x14ac:dyDescent="0.25">
      <c r="A124" s="56">
        <v>280</v>
      </c>
      <c r="B124" s="52" t="s">
        <v>301</v>
      </c>
      <c r="C124" s="52" t="s">
        <v>75</v>
      </c>
      <c r="D124" s="53" t="s">
        <v>257</v>
      </c>
      <c r="E124" s="52" t="s">
        <v>278</v>
      </c>
      <c r="F124" s="57">
        <v>12334</v>
      </c>
    </row>
    <row r="125" spans="1:6" x14ac:dyDescent="0.25">
      <c r="A125" s="56">
        <v>102</v>
      </c>
      <c r="B125" s="52" t="s">
        <v>32</v>
      </c>
      <c r="C125" s="52" t="s">
        <v>75</v>
      </c>
      <c r="D125" s="53" t="s">
        <v>79</v>
      </c>
      <c r="E125" s="52" t="s">
        <v>277</v>
      </c>
      <c r="F125" s="57">
        <v>18518</v>
      </c>
    </row>
    <row r="126" spans="1:6" x14ac:dyDescent="0.25">
      <c r="A126" s="56">
        <v>222</v>
      </c>
      <c r="B126" s="52" t="s">
        <v>32</v>
      </c>
      <c r="C126" s="52" t="s">
        <v>75</v>
      </c>
      <c r="D126" s="53" t="s">
        <v>199</v>
      </c>
      <c r="E126" s="52" t="s">
        <v>278</v>
      </c>
      <c r="F126" s="57">
        <v>13242</v>
      </c>
    </row>
    <row r="127" spans="1:6" x14ac:dyDescent="0.25">
      <c r="A127" s="56">
        <v>262</v>
      </c>
      <c r="B127" s="52" t="s">
        <v>32</v>
      </c>
      <c r="C127" s="52" t="s">
        <v>75</v>
      </c>
      <c r="D127" s="53" t="s">
        <v>239</v>
      </c>
      <c r="E127" s="52" t="s">
        <v>277</v>
      </c>
      <c r="F127" s="57">
        <v>14918</v>
      </c>
    </row>
    <row r="128" spans="1:6" x14ac:dyDescent="0.25">
      <c r="A128" s="56">
        <v>149</v>
      </c>
      <c r="B128" s="52" t="s">
        <v>290</v>
      </c>
      <c r="C128" s="52" t="s">
        <v>75</v>
      </c>
      <c r="D128" s="53" t="s">
        <v>126</v>
      </c>
      <c r="E128" s="52" t="s">
        <v>277</v>
      </c>
      <c r="F128" s="57">
        <v>15498</v>
      </c>
    </row>
    <row r="129" spans="1:6" x14ac:dyDescent="0.25">
      <c r="A129" s="56">
        <v>189</v>
      </c>
      <c r="B129" s="52" t="s">
        <v>290</v>
      </c>
      <c r="C129" s="52" t="s">
        <v>75</v>
      </c>
      <c r="D129" s="53" t="s">
        <v>166</v>
      </c>
      <c r="E129" s="52" t="s">
        <v>278</v>
      </c>
      <c r="F129" s="57">
        <v>15736</v>
      </c>
    </row>
    <row r="130" spans="1:6" x14ac:dyDescent="0.25">
      <c r="A130" s="56">
        <v>229</v>
      </c>
      <c r="B130" s="52" t="s">
        <v>290</v>
      </c>
      <c r="C130" s="52" t="s">
        <v>75</v>
      </c>
      <c r="D130" s="53" t="s">
        <v>206</v>
      </c>
      <c r="E130" s="52" t="s">
        <v>280</v>
      </c>
      <c r="F130" s="57">
        <v>17926</v>
      </c>
    </row>
    <row r="131" spans="1:6" x14ac:dyDescent="0.25">
      <c r="A131" s="56">
        <v>136</v>
      </c>
      <c r="B131" s="52" t="s">
        <v>316</v>
      </c>
      <c r="C131" s="52" t="s">
        <v>75</v>
      </c>
      <c r="D131" s="53" t="s">
        <v>113</v>
      </c>
      <c r="E131" s="52" t="s">
        <v>277</v>
      </c>
      <c r="F131" s="57">
        <v>16777</v>
      </c>
    </row>
    <row r="132" spans="1:6" x14ac:dyDescent="0.25">
      <c r="A132" s="56">
        <v>272</v>
      </c>
      <c r="B132" s="52" t="s">
        <v>293</v>
      </c>
      <c r="C132" s="52" t="s">
        <v>75</v>
      </c>
      <c r="D132" s="53" t="s">
        <v>249</v>
      </c>
      <c r="E132" s="52" t="s">
        <v>279</v>
      </c>
      <c r="F132" s="57">
        <v>13839</v>
      </c>
    </row>
    <row r="133" spans="1:6" x14ac:dyDescent="0.25">
      <c r="A133" s="56">
        <v>155</v>
      </c>
      <c r="B133" s="52" t="s">
        <v>296</v>
      </c>
      <c r="C133" s="52" t="s">
        <v>75</v>
      </c>
      <c r="D133" s="53" t="s">
        <v>132</v>
      </c>
      <c r="E133" s="52" t="s">
        <v>277</v>
      </c>
      <c r="F133" s="57">
        <v>17275</v>
      </c>
    </row>
    <row r="134" spans="1:6" x14ac:dyDescent="0.25">
      <c r="A134" s="56">
        <v>195</v>
      </c>
      <c r="B134" s="52" t="s">
        <v>296</v>
      </c>
      <c r="C134" s="52" t="s">
        <v>75</v>
      </c>
      <c r="D134" s="53" t="s">
        <v>172</v>
      </c>
      <c r="E134" s="52" t="s">
        <v>278</v>
      </c>
      <c r="F134" s="57">
        <v>18787</v>
      </c>
    </row>
    <row r="135" spans="1:6" x14ac:dyDescent="0.25">
      <c r="A135" s="56">
        <v>244</v>
      </c>
      <c r="B135" s="52" t="s">
        <v>305</v>
      </c>
      <c r="C135" s="52" t="s">
        <v>75</v>
      </c>
      <c r="D135" s="53" t="s">
        <v>221</v>
      </c>
      <c r="E135" s="52" t="s">
        <v>279</v>
      </c>
      <c r="F135" s="57">
        <v>19006</v>
      </c>
    </row>
    <row r="136" spans="1:6" x14ac:dyDescent="0.25">
      <c r="A136" s="56">
        <v>191</v>
      </c>
      <c r="B136" s="52" t="s">
        <v>292</v>
      </c>
      <c r="C136" s="52" t="s">
        <v>75</v>
      </c>
      <c r="D136" s="53" t="s">
        <v>168</v>
      </c>
      <c r="E136" s="52" t="s">
        <v>279</v>
      </c>
      <c r="F136" s="57">
        <v>18652</v>
      </c>
    </row>
    <row r="137" spans="1:6" x14ac:dyDescent="0.25">
      <c r="A137" s="56">
        <v>231</v>
      </c>
      <c r="B137" s="52" t="s">
        <v>292</v>
      </c>
      <c r="C137" s="52" t="s">
        <v>75</v>
      </c>
      <c r="D137" s="53" t="s">
        <v>208</v>
      </c>
      <c r="E137" s="52" t="s">
        <v>277</v>
      </c>
      <c r="F137" s="57">
        <v>19657</v>
      </c>
    </row>
    <row r="138" spans="1:6" x14ac:dyDescent="0.25">
      <c r="A138" s="56">
        <v>119</v>
      </c>
      <c r="B138" s="52" t="s">
        <v>300</v>
      </c>
      <c r="C138" s="52" t="s">
        <v>75</v>
      </c>
      <c r="D138" s="53" t="s">
        <v>96</v>
      </c>
      <c r="E138" s="52" t="s">
        <v>279</v>
      </c>
      <c r="F138" s="57">
        <v>13266</v>
      </c>
    </row>
    <row r="139" spans="1:6" x14ac:dyDescent="0.25">
      <c r="A139" s="56">
        <v>267</v>
      </c>
      <c r="B139" s="52" t="s">
        <v>288</v>
      </c>
      <c r="C139" s="52" t="s">
        <v>75</v>
      </c>
      <c r="D139" s="53" t="s">
        <v>244</v>
      </c>
      <c r="E139" s="52" t="s">
        <v>280</v>
      </c>
      <c r="F139" s="57">
        <v>14542</v>
      </c>
    </row>
    <row r="140" spans="1:6" x14ac:dyDescent="0.25">
      <c r="A140" s="56">
        <v>123</v>
      </c>
      <c r="B140" s="52" t="s">
        <v>304</v>
      </c>
      <c r="C140" s="52" t="s">
        <v>75</v>
      </c>
      <c r="D140" s="53" t="s">
        <v>100</v>
      </c>
      <c r="E140" s="52" t="s">
        <v>279</v>
      </c>
      <c r="F140" s="57">
        <v>14635</v>
      </c>
    </row>
    <row r="141" spans="1:6" x14ac:dyDescent="0.25">
      <c r="A141" s="56">
        <v>163</v>
      </c>
      <c r="B141" s="52" t="s">
        <v>304</v>
      </c>
      <c r="C141" s="52" t="s">
        <v>75</v>
      </c>
      <c r="D141" s="53" t="s">
        <v>140</v>
      </c>
      <c r="E141" s="52" t="s">
        <v>280</v>
      </c>
      <c r="F141" s="57">
        <v>14273</v>
      </c>
    </row>
    <row r="142" spans="1:6" x14ac:dyDescent="0.25">
      <c r="A142" s="56">
        <v>241</v>
      </c>
      <c r="B142" s="52" t="s">
        <v>302</v>
      </c>
      <c r="C142" s="52" t="s">
        <v>75</v>
      </c>
      <c r="D142" s="53" t="s">
        <v>218</v>
      </c>
      <c r="E142" s="52" t="s">
        <v>280</v>
      </c>
      <c r="F142" s="57">
        <v>13605</v>
      </c>
    </row>
    <row r="143" spans="1:6" x14ac:dyDescent="0.25">
      <c r="A143" s="56">
        <v>172</v>
      </c>
      <c r="B143" s="52" t="s">
        <v>312</v>
      </c>
      <c r="C143" s="52" t="s">
        <v>75</v>
      </c>
      <c r="D143" s="53" t="s">
        <v>149</v>
      </c>
      <c r="E143" s="52" t="s">
        <v>277</v>
      </c>
      <c r="F143" s="57">
        <v>16532</v>
      </c>
    </row>
    <row r="144" spans="1:6" x14ac:dyDescent="0.25">
      <c r="A144" s="56">
        <v>137</v>
      </c>
      <c r="B144" s="52" t="s">
        <v>317</v>
      </c>
      <c r="C144" s="52" t="s">
        <v>75</v>
      </c>
      <c r="D144" s="53" t="s">
        <v>114</v>
      </c>
      <c r="E144" s="52" t="s">
        <v>277</v>
      </c>
      <c r="F144" s="57">
        <v>17871</v>
      </c>
    </row>
    <row r="145" spans="1:6" x14ac:dyDescent="0.25">
      <c r="A145" s="56">
        <v>257</v>
      </c>
      <c r="B145" s="52" t="s">
        <v>317</v>
      </c>
      <c r="C145" s="52" t="s">
        <v>75</v>
      </c>
      <c r="D145" s="53" t="s">
        <v>234</v>
      </c>
      <c r="E145" s="52" t="s">
        <v>280</v>
      </c>
      <c r="F145" s="57">
        <v>16455</v>
      </c>
    </row>
    <row r="146" spans="1:6" x14ac:dyDescent="0.25">
      <c r="A146" s="56">
        <v>226</v>
      </c>
      <c r="B146" s="52" t="s">
        <v>287</v>
      </c>
      <c r="C146" s="52" t="s">
        <v>75</v>
      </c>
      <c r="D146" s="53" t="s">
        <v>203</v>
      </c>
      <c r="E146" s="52" t="s">
        <v>280</v>
      </c>
      <c r="F146" s="57">
        <v>13968</v>
      </c>
    </row>
    <row r="147" spans="1:6" x14ac:dyDescent="0.25">
      <c r="A147" s="56">
        <v>129</v>
      </c>
      <c r="B147" s="52" t="s">
        <v>309</v>
      </c>
      <c r="C147" s="52" t="s">
        <v>75</v>
      </c>
      <c r="D147" s="53" t="s">
        <v>106</v>
      </c>
      <c r="E147" s="52" t="s">
        <v>280</v>
      </c>
      <c r="F147" s="57">
        <v>18022</v>
      </c>
    </row>
    <row r="148" spans="1:6" x14ac:dyDescent="0.25">
      <c r="A148" s="56">
        <v>169</v>
      </c>
      <c r="B148" s="52" t="s">
        <v>309</v>
      </c>
      <c r="C148" s="52" t="s">
        <v>75</v>
      </c>
      <c r="D148" s="53" t="s">
        <v>146</v>
      </c>
      <c r="E148" s="52" t="s">
        <v>277</v>
      </c>
      <c r="F148" s="57">
        <v>16734</v>
      </c>
    </row>
    <row r="149" spans="1:6" x14ac:dyDescent="0.25">
      <c r="A149" s="56">
        <v>260</v>
      </c>
      <c r="B149" s="52" t="s">
        <v>284</v>
      </c>
      <c r="C149" s="52" t="s">
        <v>74</v>
      </c>
      <c r="D149" s="53" t="s">
        <v>237</v>
      </c>
      <c r="E149" s="52" t="s">
        <v>278</v>
      </c>
      <c r="F149" s="57">
        <v>16309</v>
      </c>
    </row>
    <row r="150" spans="1:6" x14ac:dyDescent="0.25">
      <c r="A150" s="56">
        <v>248</v>
      </c>
      <c r="B150" s="52" t="s">
        <v>308</v>
      </c>
      <c r="C150" s="52" t="s">
        <v>74</v>
      </c>
      <c r="D150" s="53" t="s">
        <v>225</v>
      </c>
      <c r="E150" s="52" t="s">
        <v>278</v>
      </c>
      <c r="F150" s="57">
        <v>17222</v>
      </c>
    </row>
    <row r="151" spans="1:6" x14ac:dyDescent="0.25">
      <c r="A151" s="56">
        <v>173</v>
      </c>
      <c r="B151" s="52" t="s">
        <v>313</v>
      </c>
      <c r="C151" s="52" t="s">
        <v>74</v>
      </c>
      <c r="D151" s="53" t="s">
        <v>150</v>
      </c>
      <c r="E151" s="52" t="s">
        <v>277</v>
      </c>
      <c r="F151" s="57">
        <v>12793</v>
      </c>
    </row>
    <row r="152" spans="1:6" x14ac:dyDescent="0.25">
      <c r="A152" s="56">
        <v>293</v>
      </c>
      <c r="B152" s="52" t="s">
        <v>313</v>
      </c>
      <c r="C152" s="52" t="s">
        <v>74</v>
      </c>
      <c r="D152" s="53" t="s">
        <v>269</v>
      </c>
      <c r="E152" s="52" t="s">
        <v>277</v>
      </c>
      <c r="F152" s="57">
        <v>12489</v>
      </c>
    </row>
    <row r="153" spans="1:6" x14ac:dyDescent="0.25">
      <c r="A153" s="56">
        <v>126</v>
      </c>
      <c r="B153" s="52" t="s">
        <v>31</v>
      </c>
      <c r="C153" s="52" t="s">
        <v>74</v>
      </c>
      <c r="D153" s="53" t="s">
        <v>103</v>
      </c>
      <c r="E153" s="52" t="s">
        <v>280</v>
      </c>
      <c r="F153" s="57">
        <v>12022</v>
      </c>
    </row>
    <row r="154" spans="1:6" x14ac:dyDescent="0.25">
      <c r="A154" s="56">
        <v>166</v>
      </c>
      <c r="B154" s="52" t="s">
        <v>31</v>
      </c>
      <c r="C154" s="52" t="s">
        <v>74</v>
      </c>
      <c r="D154" s="53" t="s">
        <v>143</v>
      </c>
      <c r="E154" s="52" t="s">
        <v>279</v>
      </c>
      <c r="F154" s="57">
        <v>15065</v>
      </c>
    </row>
    <row r="155" spans="1:6" x14ac:dyDescent="0.25">
      <c r="A155" s="56">
        <v>206</v>
      </c>
      <c r="B155" s="52" t="s">
        <v>31</v>
      </c>
      <c r="C155" s="52" t="s">
        <v>74</v>
      </c>
      <c r="D155" s="53" t="s">
        <v>183</v>
      </c>
      <c r="E155" s="52" t="s">
        <v>278</v>
      </c>
      <c r="F155" s="57">
        <v>17686</v>
      </c>
    </row>
    <row r="156" spans="1:6" x14ac:dyDescent="0.25">
      <c r="A156" s="56">
        <v>179</v>
      </c>
      <c r="B156" s="52" t="s">
        <v>319</v>
      </c>
      <c r="C156" s="52" t="s">
        <v>74</v>
      </c>
      <c r="D156" s="53" t="s">
        <v>156</v>
      </c>
      <c r="E156" s="52" t="s">
        <v>278</v>
      </c>
      <c r="F156" s="57">
        <v>18272</v>
      </c>
    </row>
    <row r="157" spans="1:6" x14ac:dyDescent="0.25">
      <c r="A157" s="56">
        <v>219</v>
      </c>
      <c r="B157" s="52" t="s">
        <v>319</v>
      </c>
      <c r="C157" s="52" t="s">
        <v>74</v>
      </c>
      <c r="D157" s="53" t="s">
        <v>196</v>
      </c>
      <c r="E157" s="52" t="s">
        <v>277</v>
      </c>
      <c r="F157" s="57">
        <v>16414</v>
      </c>
    </row>
    <row r="158" spans="1:6" x14ac:dyDescent="0.25">
      <c r="A158" s="56">
        <v>101</v>
      </c>
      <c r="B158" s="52" t="s">
        <v>35</v>
      </c>
      <c r="C158" s="52" t="s">
        <v>74</v>
      </c>
      <c r="D158" s="53" t="s">
        <v>78</v>
      </c>
      <c r="E158" s="52" t="s">
        <v>278</v>
      </c>
      <c r="F158" s="57">
        <v>14986</v>
      </c>
    </row>
    <row r="159" spans="1:6" x14ac:dyDescent="0.25">
      <c r="A159" s="56">
        <v>202</v>
      </c>
      <c r="B159" s="52" t="s">
        <v>303</v>
      </c>
      <c r="C159" s="52" t="s">
        <v>74</v>
      </c>
      <c r="D159" s="53" t="s">
        <v>179</v>
      </c>
      <c r="E159" s="52" t="s">
        <v>278</v>
      </c>
      <c r="F159" s="57">
        <v>18490</v>
      </c>
    </row>
    <row r="160" spans="1:6" x14ac:dyDescent="0.25">
      <c r="A160" s="56">
        <v>135</v>
      </c>
      <c r="B160" s="52" t="s">
        <v>315</v>
      </c>
      <c r="C160" s="52" t="s">
        <v>74</v>
      </c>
      <c r="D160" s="53" t="s">
        <v>112</v>
      </c>
      <c r="E160" s="52" t="s">
        <v>280</v>
      </c>
      <c r="F160" s="57">
        <v>13880</v>
      </c>
    </row>
    <row r="161" spans="1:6" x14ac:dyDescent="0.25">
      <c r="A161" s="56">
        <v>175</v>
      </c>
      <c r="B161" s="52" t="s">
        <v>315</v>
      </c>
      <c r="C161" s="52" t="s">
        <v>74</v>
      </c>
      <c r="D161" s="53" t="s">
        <v>152</v>
      </c>
      <c r="E161" s="52" t="s">
        <v>279</v>
      </c>
      <c r="F161" s="57">
        <v>18499</v>
      </c>
    </row>
    <row r="162" spans="1:6" x14ac:dyDescent="0.25">
      <c r="A162" s="56">
        <v>215</v>
      </c>
      <c r="B162" s="52" t="s">
        <v>315</v>
      </c>
      <c r="C162" s="52" t="s">
        <v>74</v>
      </c>
      <c r="D162" s="53" t="s">
        <v>192</v>
      </c>
      <c r="E162" s="52" t="s">
        <v>277</v>
      </c>
      <c r="F162" s="57">
        <v>18028</v>
      </c>
    </row>
    <row r="163" spans="1:6" x14ac:dyDescent="0.25">
      <c r="A163" s="56">
        <v>127</v>
      </c>
      <c r="B163" s="52" t="s">
        <v>307</v>
      </c>
      <c r="C163" s="52" t="s">
        <v>74</v>
      </c>
      <c r="D163" s="53" t="s">
        <v>104</v>
      </c>
      <c r="E163" s="52" t="s">
        <v>279</v>
      </c>
      <c r="F163" s="57">
        <v>13724</v>
      </c>
    </row>
    <row r="164" spans="1:6" x14ac:dyDescent="0.25">
      <c r="A164" s="56">
        <v>167</v>
      </c>
      <c r="B164" s="52" t="s">
        <v>307</v>
      </c>
      <c r="C164" s="52" t="s">
        <v>74</v>
      </c>
      <c r="D164" s="53" t="s">
        <v>144</v>
      </c>
      <c r="E164" s="52" t="s">
        <v>277</v>
      </c>
      <c r="F164" s="57">
        <v>19223</v>
      </c>
    </row>
    <row r="165" spans="1:6" x14ac:dyDescent="0.25">
      <c r="A165" s="56">
        <v>207</v>
      </c>
      <c r="B165" s="52" t="s">
        <v>307</v>
      </c>
      <c r="C165" s="52" t="s">
        <v>74</v>
      </c>
      <c r="D165" s="53" t="s">
        <v>184</v>
      </c>
      <c r="E165" s="52" t="s">
        <v>279</v>
      </c>
      <c r="F165" s="57">
        <v>17665</v>
      </c>
    </row>
    <row r="166" spans="1:6" x14ac:dyDescent="0.25">
      <c r="A166" s="56">
        <v>150</v>
      </c>
      <c r="B166" s="52" t="s">
        <v>291</v>
      </c>
      <c r="C166" s="52" t="s">
        <v>74</v>
      </c>
      <c r="D166" s="53" t="s">
        <v>127</v>
      </c>
      <c r="E166" s="52" t="s">
        <v>277</v>
      </c>
      <c r="F166" s="57">
        <v>13069</v>
      </c>
    </row>
    <row r="167" spans="1:6" x14ac:dyDescent="0.25">
      <c r="A167" s="56">
        <v>190</v>
      </c>
      <c r="B167" s="52" t="s">
        <v>291</v>
      </c>
      <c r="C167" s="52" t="s">
        <v>74</v>
      </c>
      <c r="D167" s="53" t="s">
        <v>167</v>
      </c>
      <c r="E167" s="52" t="s">
        <v>278</v>
      </c>
      <c r="F167" s="57">
        <v>17391</v>
      </c>
    </row>
    <row r="168" spans="1:6" x14ac:dyDescent="0.25">
      <c r="A168" s="56">
        <v>145</v>
      </c>
      <c r="B168" s="52" t="s">
        <v>286</v>
      </c>
      <c r="C168" s="52" t="s">
        <v>74</v>
      </c>
      <c r="D168" s="53" t="s">
        <v>122</v>
      </c>
      <c r="E168" s="52" t="s">
        <v>280</v>
      </c>
      <c r="F168" s="57">
        <v>19278</v>
      </c>
    </row>
    <row r="169" spans="1:6" x14ac:dyDescent="0.25">
      <c r="A169" s="56">
        <v>153</v>
      </c>
      <c r="B169" s="52" t="s">
        <v>294</v>
      </c>
      <c r="C169" s="52" t="s">
        <v>74</v>
      </c>
      <c r="D169" s="53" t="s">
        <v>130</v>
      </c>
      <c r="E169" s="52" t="s">
        <v>280</v>
      </c>
      <c r="F169" s="57">
        <v>17251</v>
      </c>
    </row>
    <row r="170" spans="1:6" x14ac:dyDescent="0.25">
      <c r="A170" s="56">
        <v>193</v>
      </c>
      <c r="B170" s="52" t="s">
        <v>294</v>
      </c>
      <c r="C170" s="52" t="s">
        <v>74</v>
      </c>
      <c r="D170" s="53" t="s">
        <v>170</v>
      </c>
      <c r="E170" s="52" t="s">
        <v>280</v>
      </c>
      <c r="F170" s="57">
        <v>19154</v>
      </c>
    </row>
    <row r="171" spans="1:6" x14ac:dyDescent="0.25">
      <c r="A171" s="56">
        <v>171</v>
      </c>
      <c r="B171" s="52" t="s">
        <v>311</v>
      </c>
      <c r="C171" s="52" t="s">
        <v>74</v>
      </c>
      <c r="D171" s="53" t="s">
        <v>148</v>
      </c>
      <c r="E171" s="52" t="s">
        <v>277</v>
      </c>
      <c r="F171" s="57">
        <v>17375</v>
      </c>
    </row>
    <row r="172" spans="1:6" x14ac:dyDescent="0.25">
      <c r="A172" s="56">
        <v>211</v>
      </c>
      <c r="B172" s="52" t="s">
        <v>311</v>
      </c>
      <c r="C172" s="52" t="s">
        <v>74</v>
      </c>
      <c r="D172" s="53" t="s">
        <v>188</v>
      </c>
      <c r="E172" s="52" t="s">
        <v>279</v>
      </c>
      <c r="F172" s="57">
        <v>13176</v>
      </c>
    </row>
    <row r="173" spans="1:6" x14ac:dyDescent="0.25">
      <c r="A173" s="56">
        <v>251</v>
      </c>
      <c r="B173" s="52" t="s">
        <v>311</v>
      </c>
      <c r="C173" s="52" t="s">
        <v>74</v>
      </c>
      <c r="D173" s="53" t="s">
        <v>228</v>
      </c>
      <c r="E173" s="52" t="s">
        <v>277</v>
      </c>
      <c r="F173" s="57">
        <v>12757</v>
      </c>
    </row>
    <row r="174" spans="1:6" x14ac:dyDescent="0.25">
      <c r="A174" s="56">
        <v>237</v>
      </c>
      <c r="B174" s="52" t="s">
        <v>298</v>
      </c>
      <c r="C174" s="52" t="s">
        <v>74</v>
      </c>
      <c r="D174" s="53" t="s">
        <v>214</v>
      </c>
      <c r="E174" s="52" t="s">
        <v>279</v>
      </c>
      <c r="F174" s="57">
        <v>18389</v>
      </c>
    </row>
    <row r="175" spans="1:6" x14ac:dyDescent="0.25">
      <c r="A175" s="56">
        <v>120</v>
      </c>
      <c r="B175" s="52" t="s">
        <v>301</v>
      </c>
      <c r="C175" s="52" t="s">
        <v>74</v>
      </c>
      <c r="D175" s="53" t="s">
        <v>97</v>
      </c>
      <c r="E175" s="52" t="s">
        <v>278</v>
      </c>
      <c r="F175" s="57">
        <v>19185</v>
      </c>
    </row>
    <row r="176" spans="1:6" x14ac:dyDescent="0.25">
      <c r="A176" s="56">
        <v>200</v>
      </c>
      <c r="B176" s="52" t="s">
        <v>301</v>
      </c>
      <c r="C176" s="52" t="s">
        <v>74</v>
      </c>
      <c r="D176" s="53" t="s">
        <v>177</v>
      </c>
      <c r="E176" s="52" t="s">
        <v>278</v>
      </c>
      <c r="F176" s="57">
        <v>19824</v>
      </c>
    </row>
    <row r="177" spans="1:6" x14ac:dyDescent="0.25">
      <c r="A177" s="56">
        <v>182</v>
      </c>
      <c r="B177" s="52" t="s">
        <v>32</v>
      </c>
      <c r="C177" s="52" t="s">
        <v>74</v>
      </c>
      <c r="D177" s="53" t="s">
        <v>159</v>
      </c>
      <c r="E177" s="52" t="s">
        <v>277</v>
      </c>
      <c r="F177" s="57">
        <v>13091</v>
      </c>
    </row>
    <row r="178" spans="1:6" x14ac:dyDescent="0.25">
      <c r="A178" s="56">
        <v>269</v>
      </c>
      <c r="B178" s="52" t="s">
        <v>290</v>
      </c>
      <c r="C178" s="52" t="s">
        <v>74</v>
      </c>
      <c r="D178" s="53" t="s">
        <v>246</v>
      </c>
      <c r="E178" s="52" t="s">
        <v>280</v>
      </c>
      <c r="F178" s="57">
        <v>15047</v>
      </c>
    </row>
    <row r="179" spans="1:6" x14ac:dyDescent="0.25">
      <c r="A179" s="56">
        <v>256</v>
      </c>
      <c r="B179" s="52" t="s">
        <v>316</v>
      </c>
      <c r="C179" s="52" t="s">
        <v>74</v>
      </c>
      <c r="D179" s="53" t="s">
        <v>233</v>
      </c>
      <c r="E179" s="52" t="s">
        <v>279</v>
      </c>
      <c r="F179" s="57">
        <v>15915</v>
      </c>
    </row>
    <row r="180" spans="1:6" x14ac:dyDescent="0.25">
      <c r="A180" s="56">
        <v>112</v>
      </c>
      <c r="B180" s="52" t="s">
        <v>293</v>
      </c>
      <c r="C180" s="52" t="s">
        <v>74</v>
      </c>
      <c r="D180" s="53" t="s">
        <v>89</v>
      </c>
      <c r="E180" s="52" t="s">
        <v>279</v>
      </c>
      <c r="F180" s="57">
        <v>13621</v>
      </c>
    </row>
    <row r="181" spans="1:6" x14ac:dyDescent="0.25">
      <c r="A181" s="56">
        <v>152</v>
      </c>
      <c r="B181" s="52" t="s">
        <v>293</v>
      </c>
      <c r="C181" s="52" t="s">
        <v>74</v>
      </c>
      <c r="D181" s="53" t="s">
        <v>129</v>
      </c>
      <c r="E181" s="52" t="s">
        <v>277</v>
      </c>
      <c r="F181" s="57">
        <v>16190</v>
      </c>
    </row>
    <row r="182" spans="1:6" x14ac:dyDescent="0.25">
      <c r="A182" s="56">
        <v>232</v>
      </c>
      <c r="B182" s="52" t="s">
        <v>293</v>
      </c>
      <c r="C182" s="52" t="s">
        <v>74</v>
      </c>
      <c r="D182" s="53" t="s">
        <v>209</v>
      </c>
      <c r="E182" s="52" t="s">
        <v>280</v>
      </c>
      <c r="F182" s="57">
        <v>18677</v>
      </c>
    </row>
    <row r="183" spans="1:6" x14ac:dyDescent="0.25">
      <c r="A183" s="56">
        <v>104</v>
      </c>
      <c r="B183" s="52" t="s">
        <v>76</v>
      </c>
      <c r="C183" s="52" t="s">
        <v>74</v>
      </c>
      <c r="D183" s="53" t="s">
        <v>81</v>
      </c>
      <c r="E183" s="52" t="s">
        <v>277</v>
      </c>
      <c r="F183" s="57">
        <v>12165</v>
      </c>
    </row>
    <row r="184" spans="1:6" x14ac:dyDescent="0.25">
      <c r="A184" s="56">
        <v>144</v>
      </c>
      <c r="B184" s="52" t="s">
        <v>76</v>
      </c>
      <c r="C184" s="52" t="s">
        <v>74</v>
      </c>
      <c r="D184" s="53" t="s">
        <v>121</v>
      </c>
      <c r="E184" s="52" t="s">
        <v>279</v>
      </c>
      <c r="F184" s="57">
        <v>14489</v>
      </c>
    </row>
    <row r="185" spans="1:6" x14ac:dyDescent="0.25">
      <c r="A185" s="56">
        <v>264</v>
      </c>
      <c r="B185" s="52" t="s">
        <v>76</v>
      </c>
      <c r="C185" s="52" t="s">
        <v>74</v>
      </c>
      <c r="D185" s="53" t="s">
        <v>241</v>
      </c>
      <c r="E185" s="52" t="s">
        <v>279</v>
      </c>
      <c r="F185" s="57">
        <v>15258</v>
      </c>
    </row>
    <row r="186" spans="1:6" x14ac:dyDescent="0.25">
      <c r="A186" s="56">
        <v>124</v>
      </c>
      <c r="B186" s="52" t="s">
        <v>305</v>
      </c>
      <c r="C186" s="52" t="s">
        <v>74</v>
      </c>
      <c r="D186" s="53" t="s">
        <v>101</v>
      </c>
      <c r="E186" s="52" t="s">
        <v>278</v>
      </c>
      <c r="F186" s="57">
        <v>19137</v>
      </c>
    </row>
    <row r="187" spans="1:6" x14ac:dyDescent="0.25">
      <c r="A187" s="56">
        <v>196</v>
      </c>
      <c r="B187" s="52" t="s">
        <v>297</v>
      </c>
      <c r="C187" s="52" t="s">
        <v>74</v>
      </c>
      <c r="D187" s="53" t="s">
        <v>173</v>
      </c>
      <c r="E187" s="52" t="s">
        <v>279</v>
      </c>
      <c r="F187" s="57">
        <v>19962</v>
      </c>
    </row>
    <row r="188" spans="1:6" x14ac:dyDescent="0.25">
      <c r="A188" s="56">
        <v>276</v>
      </c>
      <c r="B188" s="52" t="s">
        <v>297</v>
      </c>
      <c r="C188" s="52" t="s">
        <v>74</v>
      </c>
      <c r="D188" s="53" t="s">
        <v>253</v>
      </c>
      <c r="E188" s="52" t="s">
        <v>279</v>
      </c>
      <c r="F188" s="57">
        <v>18184</v>
      </c>
    </row>
    <row r="189" spans="1:6" x14ac:dyDescent="0.25">
      <c r="A189" s="56">
        <v>118</v>
      </c>
      <c r="B189" s="52" t="s">
        <v>299</v>
      </c>
      <c r="C189" s="52" t="s">
        <v>74</v>
      </c>
      <c r="D189" s="53" t="s">
        <v>95</v>
      </c>
      <c r="E189" s="52" t="s">
        <v>277</v>
      </c>
      <c r="F189" s="57">
        <v>19472</v>
      </c>
    </row>
    <row r="190" spans="1:6" x14ac:dyDescent="0.25">
      <c r="A190" s="56">
        <v>158</v>
      </c>
      <c r="B190" s="52" t="s">
        <v>299</v>
      </c>
      <c r="C190" s="52" t="s">
        <v>74</v>
      </c>
      <c r="D190" s="53" t="s">
        <v>135</v>
      </c>
      <c r="E190" s="52" t="s">
        <v>280</v>
      </c>
      <c r="F190" s="57">
        <v>14304</v>
      </c>
    </row>
    <row r="191" spans="1:6" x14ac:dyDescent="0.25">
      <c r="A191" s="56">
        <v>198</v>
      </c>
      <c r="B191" s="52" t="s">
        <v>299</v>
      </c>
      <c r="C191" s="52" t="s">
        <v>74</v>
      </c>
      <c r="D191" s="53" t="s">
        <v>175</v>
      </c>
      <c r="E191" s="52" t="s">
        <v>277</v>
      </c>
      <c r="F191" s="57">
        <v>12756</v>
      </c>
    </row>
    <row r="192" spans="1:6" x14ac:dyDescent="0.25">
      <c r="A192" s="56">
        <v>278</v>
      </c>
      <c r="B192" s="52" t="s">
        <v>299</v>
      </c>
      <c r="C192" s="52" t="s">
        <v>74</v>
      </c>
      <c r="D192" s="53" t="s">
        <v>255</v>
      </c>
      <c r="E192" s="52" t="s">
        <v>279</v>
      </c>
      <c r="F192" s="57">
        <v>14427</v>
      </c>
    </row>
    <row r="193" spans="1:6" x14ac:dyDescent="0.25">
      <c r="A193" s="56">
        <v>121</v>
      </c>
      <c r="B193" s="52" t="s">
        <v>302</v>
      </c>
      <c r="C193" s="52" t="s">
        <v>74</v>
      </c>
      <c r="D193" s="53" t="s">
        <v>98</v>
      </c>
      <c r="E193" s="52" t="s">
        <v>278</v>
      </c>
      <c r="F193" s="57">
        <v>13227</v>
      </c>
    </row>
    <row r="194" spans="1:6" x14ac:dyDescent="0.25">
      <c r="A194" s="56">
        <v>161</v>
      </c>
      <c r="B194" s="52" t="s">
        <v>302</v>
      </c>
      <c r="C194" s="52" t="s">
        <v>74</v>
      </c>
      <c r="D194" s="53" t="s">
        <v>138</v>
      </c>
      <c r="E194" s="52" t="s">
        <v>280</v>
      </c>
      <c r="F194" s="57">
        <v>12281</v>
      </c>
    </row>
    <row r="195" spans="1:6" x14ac:dyDescent="0.25">
      <c r="A195" s="56">
        <v>281</v>
      </c>
      <c r="B195" s="52" t="s">
        <v>302</v>
      </c>
      <c r="C195" s="52" t="s">
        <v>74</v>
      </c>
      <c r="D195" s="53" t="s">
        <v>258</v>
      </c>
      <c r="E195" s="52" t="s">
        <v>279</v>
      </c>
      <c r="F195" s="57">
        <v>15222</v>
      </c>
    </row>
    <row r="196" spans="1:6" x14ac:dyDescent="0.25">
      <c r="A196" s="56">
        <v>212</v>
      </c>
      <c r="B196" s="52" t="s">
        <v>312</v>
      </c>
      <c r="C196" s="52" t="s">
        <v>74</v>
      </c>
      <c r="D196" s="53" t="s">
        <v>189</v>
      </c>
      <c r="E196" s="52" t="s">
        <v>280</v>
      </c>
      <c r="F196" s="57">
        <v>13497</v>
      </c>
    </row>
    <row r="197" spans="1:6" x14ac:dyDescent="0.25">
      <c r="A197" s="56">
        <v>292</v>
      </c>
      <c r="B197" s="52" t="s">
        <v>312</v>
      </c>
      <c r="C197" s="52" t="s">
        <v>74</v>
      </c>
      <c r="D197" s="53" t="s">
        <v>268</v>
      </c>
      <c r="E197" s="52" t="s">
        <v>280</v>
      </c>
      <c r="F197" s="57">
        <v>16821</v>
      </c>
    </row>
    <row r="198" spans="1:6" x14ac:dyDescent="0.25">
      <c r="A198" s="56">
        <v>177</v>
      </c>
      <c r="B198" s="52" t="s">
        <v>317</v>
      </c>
      <c r="C198" s="52" t="s">
        <v>74</v>
      </c>
      <c r="D198" s="53" t="s">
        <v>154</v>
      </c>
      <c r="E198" s="52" t="s">
        <v>280</v>
      </c>
      <c r="F198" s="57">
        <v>18534</v>
      </c>
    </row>
    <row r="199" spans="1:6" x14ac:dyDescent="0.25">
      <c r="A199" s="56">
        <v>217</v>
      </c>
      <c r="B199" s="52" t="s">
        <v>317</v>
      </c>
      <c r="C199" s="52" t="s">
        <v>74</v>
      </c>
      <c r="D199" s="53" t="s">
        <v>194</v>
      </c>
      <c r="E199" s="52" t="s">
        <v>279</v>
      </c>
      <c r="F199" s="57">
        <v>13270</v>
      </c>
    </row>
    <row r="200" spans="1:6" x14ac:dyDescent="0.25">
      <c r="A200" s="56">
        <v>249</v>
      </c>
      <c r="B200" s="52" t="s">
        <v>309</v>
      </c>
      <c r="C200" s="52" t="s">
        <v>74</v>
      </c>
      <c r="D200" s="53" t="s">
        <v>226</v>
      </c>
      <c r="E200" s="52" t="s">
        <v>280</v>
      </c>
      <c r="F200" s="57">
        <v>17082</v>
      </c>
    </row>
    <row r="201" spans="1:6" x14ac:dyDescent="0.25">
      <c r="A201" s="61">
        <v>289</v>
      </c>
      <c r="B201" s="62" t="s">
        <v>309</v>
      </c>
      <c r="C201" s="62" t="s">
        <v>74</v>
      </c>
      <c r="D201" s="63" t="s">
        <v>128</v>
      </c>
      <c r="E201" s="62" t="s">
        <v>279</v>
      </c>
      <c r="F201" s="64">
        <v>12745</v>
      </c>
    </row>
  </sheetData>
  <sortState xmlns:xlrd2="http://schemas.microsoft.com/office/spreadsheetml/2017/richdata2" ref="A2:F201">
    <sortCondition ref="A1"/>
  </sortState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Opérations_Base</vt:lpstr>
      <vt:lpstr>Produit_Somme</vt:lpstr>
      <vt:lpstr>Somme</vt:lpstr>
      <vt:lpstr>Moy_Min_Max</vt:lpstr>
      <vt:lpstr>NB_NBVAL</vt:lpstr>
      <vt:lpstr>Ref_Relative</vt:lpstr>
      <vt:lpstr>Ref_Absolue</vt:lpstr>
      <vt:lpstr>Ref_Mixte</vt:lpstr>
      <vt:lpstr>Tri_Filtrage_Impression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cp:lastPrinted>2024-10-05T00:03:40Z</cp:lastPrinted>
  <dcterms:created xsi:type="dcterms:W3CDTF">2022-12-04T02:13:01Z</dcterms:created>
  <dcterms:modified xsi:type="dcterms:W3CDTF">2024-11-05T04:04:00Z</dcterms:modified>
</cp:coreProperties>
</file>