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tables/table4.xml" ContentType="application/vnd.openxmlformats-officedocument.spreadsheetml.tab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nass MB\Documents\Cours universia\Excel Avancé 3ème Année\cours\TPs Semaines\TP_Semaine_2\"/>
    </mc:Choice>
  </mc:AlternateContent>
  <xr:revisionPtr revIDLastSave="0" documentId="13_ncr:1_{972EE12D-ABAD-4412-BFB6-39139DB508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I_simple" sheetId="3" r:id="rId1"/>
    <sheet name="SI_simple_2" sheetId="17" r:id="rId2"/>
    <sheet name="SI_ET" sheetId="1" r:id="rId3"/>
    <sheet name="SI_OU" sheetId="2" r:id="rId4"/>
    <sheet name="SI_ET_Calcul" sheetId="5" r:id="rId5"/>
    <sheet name="SI_OU_Calcul" sheetId="4" r:id="rId6"/>
    <sheet name="SI_Date_Couleurs" sheetId="6" r:id="rId7"/>
    <sheet name="Mise_forme_Condition" sheetId="7" r:id="rId8"/>
    <sheet name="NB.SI" sheetId="8" r:id="rId9"/>
    <sheet name="SOMME.SI" sheetId="13" r:id="rId10"/>
    <sheet name="SOMME.SI_TabStruc" sheetId="14" r:id="rId11"/>
    <sheet name="Transactions" sheetId="11" r:id="rId12"/>
    <sheet name="Indicateurs_Transactions" sheetId="12" r:id="rId13"/>
    <sheet name="NB_SOMME_SI.ENS" sheetId="15" r:id="rId14"/>
    <sheet name="SI_Imbriqué" sheetId="16" r:id="rId15"/>
    <sheet name="SI.CONDITIONS" sheetId="19" r:id="rId1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9" l="1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E5" i="16"/>
  <c r="E6" i="16"/>
  <c r="E7" i="16"/>
  <c r="E8" i="16"/>
  <c r="E9" i="16"/>
  <c r="E10" i="16"/>
  <c r="E11" i="16"/>
  <c r="E12" i="16"/>
  <c r="E13" i="16"/>
  <c r="E4" i="16"/>
  <c r="D5" i="16"/>
  <c r="D6" i="16"/>
  <c r="D7" i="16"/>
  <c r="D8" i="16"/>
  <c r="D9" i="16"/>
  <c r="D10" i="16"/>
  <c r="D11" i="16"/>
  <c r="D12" i="16"/>
  <c r="D13" i="16"/>
  <c r="D4" i="16"/>
  <c r="G10" i="15"/>
  <c r="G9" i="15"/>
  <c r="C5" i="12"/>
  <c r="C6" i="12"/>
  <c r="C7" i="12"/>
  <c r="C8" i="12"/>
  <c r="C4" i="12"/>
  <c r="B5" i="12"/>
  <c r="B6" i="12"/>
  <c r="B7" i="12"/>
  <c r="B8" i="12"/>
  <c r="B4" i="12"/>
  <c r="F12" i="14"/>
  <c r="F13" i="14"/>
  <c r="F11" i="14"/>
  <c r="F6" i="14"/>
  <c r="F7" i="14"/>
  <c r="F5" i="14"/>
  <c r="F12" i="13"/>
  <c r="F13" i="13"/>
  <c r="F11" i="13"/>
  <c r="F6" i="13"/>
  <c r="F7" i="13"/>
  <c r="F5" i="13"/>
  <c r="F8" i="8"/>
  <c r="F5" i="8"/>
  <c r="E4" i="6"/>
  <c r="E7" i="6"/>
  <c r="E5" i="6"/>
  <c r="E8" i="6"/>
  <c r="E6" i="6"/>
  <c r="D6" i="4"/>
  <c r="D7" i="4"/>
  <c r="D8" i="4"/>
  <c r="D9" i="4"/>
  <c r="D10" i="4"/>
  <c r="D11" i="4"/>
  <c r="D12" i="4"/>
  <c r="D13" i="4"/>
  <c r="D5" i="4"/>
  <c r="H6" i="5"/>
  <c r="H7" i="5"/>
  <c r="H8" i="5"/>
  <c r="H9" i="5"/>
  <c r="H5" i="5"/>
  <c r="G6" i="5"/>
  <c r="G7" i="5"/>
  <c r="G8" i="5"/>
  <c r="G9" i="5"/>
  <c r="G5" i="5"/>
  <c r="D6" i="5"/>
  <c r="D7" i="5"/>
  <c r="D8" i="5"/>
  <c r="D9" i="5"/>
  <c r="D5" i="5"/>
  <c r="E5" i="2"/>
  <c r="E6" i="2"/>
  <c r="E7" i="2"/>
  <c r="E8" i="2"/>
  <c r="E9" i="2"/>
  <c r="E4" i="2"/>
  <c r="D5" i="2"/>
  <c r="D6" i="2"/>
  <c r="D7" i="2"/>
  <c r="D8" i="2"/>
  <c r="D9" i="2"/>
  <c r="D4" i="2"/>
  <c r="E4" i="1"/>
  <c r="E5" i="1"/>
  <c r="E6" i="1"/>
  <c r="E7" i="1"/>
  <c r="E8" i="1"/>
  <c r="E9" i="1"/>
  <c r="D5" i="1"/>
  <c r="D6" i="1"/>
  <c r="D7" i="1"/>
  <c r="D8" i="1"/>
  <c r="D9" i="1"/>
  <c r="D4" i="1"/>
  <c r="D5" i="17"/>
  <c r="D6" i="17"/>
  <c r="D7" i="17"/>
  <c r="D8" i="17"/>
  <c r="D4" i="17"/>
  <c r="D5" i="3"/>
  <c r="D6" i="3"/>
  <c r="D7" i="3"/>
  <c r="D8" i="3"/>
  <c r="D4" i="3"/>
</calcChain>
</file>

<file path=xl/sharedStrings.xml><?xml version="1.0" encoding="utf-8"?>
<sst xmlns="http://schemas.openxmlformats.org/spreadsheetml/2006/main" count="461" uniqueCount="251">
  <si>
    <t>Nom du membre</t>
  </si>
  <si>
    <t>Age</t>
  </si>
  <si>
    <t>Score des Maths</t>
  </si>
  <si>
    <t>Participation au Concours</t>
  </si>
  <si>
    <t>Rayan El Fassi</t>
  </si>
  <si>
    <t>Salma Benjelloun</t>
  </si>
  <si>
    <t>Karim Amrani</t>
  </si>
  <si>
    <t>Hiba El Khatib</t>
  </si>
  <si>
    <t>Amine Zahid</t>
  </si>
  <si>
    <t>Nora Faiz</t>
  </si>
  <si>
    <t>Participation Concours Scolaire</t>
  </si>
  <si>
    <t>Nom de l'étudiant</t>
  </si>
  <si>
    <t>Nombre de livres lus</t>
  </si>
  <si>
    <t>Participation au Club</t>
  </si>
  <si>
    <t>Yassine Rahmani</t>
  </si>
  <si>
    <t>Samira El Idrissi</t>
  </si>
  <si>
    <t>Nour Amrani</t>
  </si>
  <si>
    <t>Rania Boutaleb</t>
  </si>
  <si>
    <t>Ali Lahlou</t>
  </si>
  <si>
    <t>Participation Club Lecture</t>
  </si>
  <si>
    <t>Nom du représentant</t>
  </si>
  <si>
    <t>Prime</t>
  </si>
  <si>
    <t>Chiffre d'affaires</t>
  </si>
  <si>
    <t>Samir Benjelloun</t>
  </si>
  <si>
    <t>Adil El Mansouri</t>
  </si>
  <si>
    <t>Mourad Chraibi</t>
  </si>
  <si>
    <t>Anass El Alaoui</t>
  </si>
  <si>
    <t>Jabran Boulahfa</t>
  </si>
  <si>
    <t>Kamal Aït Bensalem</t>
  </si>
  <si>
    <t>Mohamed Touhami</t>
  </si>
  <si>
    <t>Ali Benyahia</t>
  </si>
  <si>
    <t>Oussama Naciri</t>
  </si>
  <si>
    <t>Années ancienneté</t>
  </si>
  <si>
    <t>Taux de la prime</t>
  </si>
  <si>
    <t>Tableau sur les Primes</t>
  </si>
  <si>
    <t>Moyenne</t>
  </si>
  <si>
    <t>Statut</t>
  </si>
  <si>
    <t>Exam. Intra</t>
  </si>
  <si>
    <t>Exam. Final</t>
  </si>
  <si>
    <t>% Absence</t>
  </si>
  <si>
    <t>Anir</t>
  </si>
  <si>
    <t>Youcef</t>
  </si>
  <si>
    <t>Malak</t>
  </si>
  <si>
    <t>Anass</t>
  </si>
  <si>
    <t>Hiba</t>
  </si>
  <si>
    <t>Etudiant</t>
  </si>
  <si>
    <t>Evaluation du Module</t>
  </si>
  <si>
    <t>Volume Horaire</t>
  </si>
  <si>
    <t>Heures Présence</t>
  </si>
  <si>
    <t>Heures Absence</t>
  </si>
  <si>
    <t>Produit</t>
  </si>
  <si>
    <t>Date de Production</t>
  </si>
  <si>
    <t>Date d'Expiration</t>
  </si>
  <si>
    <t>Yaourt Nature</t>
  </si>
  <si>
    <t>Lait UHT</t>
  </si>
  <si>
    <t>Jus d'Orange</t>
  </si>
  <si>
    <t>Fromage Blanc</t>
  </si>
  <si>
    <t>Prix Unitaire</t>
  </si>
  <si>
    <t>Tableau des Produits</t>
  </si>
  <si>
    <t>Soda</t>
  </si>
  <si>
    <t>Nom et Prénom</t>
  </si>
  <si>
    <t>Niveau</t>
  </si>
  <si>
    <t>Moyenne Générale</t>
  </si>
  <si>
    <t>Ahmed El Fassi</t>
  </si>
  <si>
    <t>1ère année</t>
  </si>
  <si>
    <t>Sara Amrani</t>
  </si>
  <si>
    <t>2ème année</t>
  </si>
  <si>
    <t>Mohamed Bennis</t>
  </si>
  <si>
    <t>3ème année</t>
  </si>
  <si>
    <t>Yasmine Lahlou</t>
  </si>
  <si>
    <t>Reda Bouziane</t>
  </si>
  <si>
    <t>Salma El Idrissi</t>
  </si>
  <si>
    <t>Khalid Amine</t>
  </si>
  <si>
    <t>Leila Chraibi</t>
  </si>
  <si>
    <t>Hamza Bahri</t>
  </si>
  <si>
    <t>Hind Hakam</t>
  </si>
  <si>
    <t>Younes Alaoui</t>
  </si>
  <si>
    <t>Mariam Benyahia</t>
  </si>
  <si>
    <t>Nabil El Khatib</t>
  </si>
  <si>
    <t>Rania Bensaid</t>
  </si>
  <si>
    <t>Zakaria Touhami</t>
  </si>
  <si>
    <t>Imane Naciri</t>
  </si>
  <si>
    <t>Anas El Ouafi</t>
  </si>
  <si>
    <t>Oumaima Bouhadi</t>
  </si>
  <si>
    <t>Amine Rahmani</t>
  </si>
  <si>
    <t>Soukaina Idrissi</t>
  </si>
  <si>
    <t>Aziz Aït Benali</t>
  </si>
  <si>
    <t>Fatima Zahra Maâninou</t>
  </si>
  <si>
    <t>Ismail Lahmidi</t>
  </si>
  <si>
    <t>Meriem Raji</t>
  </si>
  <si>
    <t>Mehdi El Mansouri</t>
  </si>
  <si>
    <t>Lamia Bouazza</t>
  </si>
  <si>
    <t>Saad Kabbaj</t>
  </si>
  <si>
    <t>Wafae Amine</t>
  </si>
  <si>
    <t>Omar Ouazzani</t>
  </si>
  <si>
    <t>Aya Amrani</t>
  </si>
  <si>
    <t>Mounir Faiz</t>
  </si>
  <si>
    <t>Rania Boulif</t>
  </si>
  <si>
    <t>Rachid Boujemaa</t>
  </si>
  <si>
    <t>Meryem Sahli</t>
  </si>
  <si>
    <t>Badr Naji</t>
  </si>
  <si>
    <t>Zineb Sefrioui</t>
  </si>
  <si>
    <t>Othmane Marzouk</t>
  </si>
  <si>
    <t>Najwa Benkirane</t>
  </si>
  <si>
    <t>Yassir Bouhlal</t>
  </si>
  <si>
    <t>Khadija Tahiri</t>
  </si>
  <si>
    <t>Hamid El Khalfi</t>
  </si>
  <si>
    <t>Rajae El Majdoub</t>
  </si>
  <si>
    <t>Youssef Moutawakil</t>
  </si>
  <si>
    <t>Mounia Chakir</t>
  </si>
  <si>
    <t>Laila Semlali</t>
  </si>
  <si>
    <t>Sami El Youssfi</t>
  </si>
  <si>
    <t>Safae El Hamdi</t>
  </si>
  <si>
    <t>Hicham Douiri</t>
  </si>
  <si>
    <t>Sara Bouzid</t>
  </si>
  <si>
    <t>Omar Aït Hamou</t>
  </si>
  <si>
    <t>Siham Ghazali</t>
  </si>
  <si>
    <t>Identifiant</t>
  </si>
  <si>
    <t>Nom Complet</t>
  </si>
  <si>
    <t>Sexe</t>
  </si>
  <si>
    <t>Âge</t>
  </si>
  <si>
    <t>Ali Benjelloun</t>
  </si>
  <si>
    <t>M</t>
  </si>
  <si>
    <t>F</t>
  </si>
  <si>
    <t>Youssef Lahlou</t>
  </si>
  <si>
    <t>Karim Boulif</t>
  </si>
  <si>
    <t>Fatima Zahra Aït Ali</t>
  </si>
  <si>
    <t>Hamza Touhami</t>
  </si>
  <si>
    <t>Meriem Lahmidi</t>
  </si>
  <si>
    <t>Ahmed El Idrissi</t>
  </si>
  <si>
    <t>Tableau des Moyennes Générales</t>
  </si>
  <si>
    <t>Tableau des Clients</t>
  </si>
  <si>
    <t>ID Transaction</t>
  </si>
  <si>
    <t>Montant</t>
  </si>
  <si>
    <t>Nombre de Transactions</t>
  </si>
  <si>
    <t>Tableau des Transactions</t>
  </si>
  <si>
    <t>Transactions par Client</t>
  </si>
  <si>
    <t>Montant Total</t>
  </si>
  <si>
    <t>Nom Client</t>
  </si>
  <si>
    <t>Total</t>
  </si>
  <si>
    <t>Période</t>
  </si>
  <si>
    <t>JANV</t>
  </si>
  <si>
    <t>Centre</t>
  </si>
  <si>
    <t>Sud</t>
  </si>
  <si>
    <t>MARS</t>
  </si>
  <si>
    <t>Nord</t>
  </si>
  <si>
    <t>Région</t>
  </si>
  <si>
    <t>FÉVR</t>
  </si>
  <si>
    <t>Tableau des Chiffres d'Affaires</t>
  </si>
  <si>
    <t>Ville</t>
  </si>
  <si>
    <t>Électronique</t>
  </si>
  <si>
    <t>Casablanca</t>
  </si>
  <si>
    <t>Alimentaire</t>
  </si>
  <si>
    <t>Marrakech</t>
  </si>
  <si>
    <t>Vêtements</t>
  </si>
  <si>
    <t>Agadir</t>
  </si>
  <si>
    <t>Cosmétique</t>
  </si>
  <si>
    <t>Type Produit</t>
  </si>
  <si>
    <t>Ordinateur Portable</t>
  </si>
  <si>
    <t>Riz Basmati</t>
  </si>
  <si>
    <t>T-shirt en Coton</t>
  </si>
  <si>
    <t>Télévision LED</t>
  </si>
  <si>
    <t>Huile d'Olive</t>
  </si>
  <si>
    <t>Rouge à Lèvres</t>
  </si>
  <si>
    <t>Pantalon en Jean</t>
  </si>
  <si>
    <t>Crème Hydratante</t>
  </si>
  <si>
    <t>Casque Audio</t>
  </si>
  <si>
    <t>Biscuits Bio</t>
  </si>
  <si>
    <t>Pull en Laine</t>
  </si>
  <si>
    <t>Masque Visage</t>
  </si>
  <si>
    <t>Smartphone</t>
  </si>
  <si>
    <t>Café Moulu</t>
  </si>
  <si>
    <t>Chaussures de Sport</t>
  </si>
  <si>
    <t>Total Produits</t>
  </si>
  <si>
    <t>Critères</t>
  </si>
  <si>
    <t>Indicateurs</t>
  </si>
  <si>
    <t>Nombre Produits</t>
  </si>
  <si>
    <t>Nom du Salarié</t>
  </si>
  <si>
    <t>Ahmed Benjelloun</t>
  </si>
  <si>
    <t>Nadia El Idrissi</t>
  </si>
  <si>
    <t>Ancienneté</t>
  </si>
  <si>
    <t>Salaire</t>
  </si>
  <si>
    <t>&gt;7</t>
  </si>
  <si>
    <t>sinon</t>
  </si>
  <si>
    <t>&gt;3</t>
  </si>
  <si>
    <t>Tableau des Augmentations Salariales</t>
  </si>
  <si>
    <t>% Augmentation</t>
  </si>
  <si>
    <t>% Augm.</t>
  </si>
  <si>
    <t>Barème des Augmentations</t>
  </si>
  <si>
    <t>Nouv. Salaire</t>
  </si>
  <si>
    <t>Participation aux Activités</t>
  </si>
  <si>
    <t>Activité</t>
  </si>
  <si>
    <t>Critères Satisfaits ?</t>
  </si>
  <si>
    <t>Nom de l'élève</t>
  </si>
  <si>
    <t>Note</t>
  </si>
  <si>
    <t>E001</t>
  </si>
  <si>
    <t>Ahmed</t>
  </si>
  <si>
    <t>E002</t>
  </si>
  <si>
    <t>Fatima</t>
  </si>
  <si>
    <t>E003</t>
  </si>
  <si>
    <t>Youssef</t>
  </si>
  <si>
    <t>E004</t>
  </si>
  <si>
    <t>Amina</t>
  </si>
  <si>
    <t>E005</t>
  </si>
  <si>
    <t>Mohamed</t>
  </si>
  <si>
    <t>E006</t>
  </si>
  <si>
    <t>Sara</t>
  </si>
  <si>
    <t>E007</t>
  </si>
  <si>
    <t>Hassan</t>
  </si>
  <si>
    <t>E008</t>
  </si>
  <si>
    <t>Asmae</t>
  </si>
  <si>
    <t>E009</t>
  </si>
  <si>
    <t>Omar</t>
  </si>
  <si>
    <t>E010</t>
  </si>
  <si>
    <t>Zineb</t>
  </si>
  <si>
    <t>E011</t>
  </si>
  <si>
    <t>Rachid</t>
  </si>
  <si>
    <t>E012</t>
  </si>
  <si>
    <t>Samira</t>
  </si>
  <si>
    <t>E013</t>
  </si>
  <si>
    <t>Khalid</t>
  </si>
  <si>
    <t>E014</t>
  </si>
  <si>
    <t>Mouna</t>
  </si>
  <si>
    <t>E015</t>
  </si>
  <si>
    <t>Saad</t>
  </si>
  <si>
    <t>E016</t>
  </si>
  <si>
    <t>Ikram</t>
  </si>
  <si>
    <t>E017</t>
  </si>
  <si>
    <t>Ayoub</t>
  </si>
  <si>
    <t>E018</t>
  </si>
  <si>
    <t>Salma</t>
  </si>
  <si>
    <t>E019</t>
  </si>
  <si>
    <t>Ismail</t>
  </si>
  <si>
    <t>E020</t>
  </si>
  <si>
    <t>Nadia</t>
  </si>
  <si>
    <t>Mention</t>
  </si>
  <si>
    <t>Barème</t>
  </si>
  <si>
    <t>Bien</t>
  </si>
  <si>
    <t>A. Bien</t>
  </si>
  <si>
    <t>Passable</t>
  </si>
  <si>
    <t>Insuffisant</t>
  </si>
  <si>
    <t>Tableau des Mentions</t>
  </si>
  <si>
    <t>≥16</t>
  </si>
  <si>
    <t>≥12</t>
  </si>
  <si>
    <t>≥10</t>
  </si>
  <si>
    <t>&lt;10</t>
  </si>
  <si>
    <t>Nombre Clients de sexe Féminin</t>
  </si>
  <si>
    <t>Nombre Clients de plus de 30 ans</t>
  </si>
  <si>
    <t>Chiffre Affaires</t>
  </si>
  <si>
    <t>Date Transaction</t>
  </si>
  <si>
    <t>Nom 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</si>
</sst>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theme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right" indent="2"/>
    </xf>
    <xf numFmtId="164" fontId="0" fillId="0" borderId="1" xfId="0" applyNumberFormat="1" applyBorder="1"/>
    <xf numFmtId="0" fontId="0" fillId="0" borderId="5" xfId="0" applyBorder="1"/>
    <xf numFmtId="164" fontId="0" fillId="4" borderId="1" xfId="0" applyNumberForma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9" fontId="0" fillId="5" borderId="1" xfId="0" applyNumberFormat="1" applyFill="1" applyBorder="1" applyAlignment="1">
      <alignment horizontal="right" vertical="center" indent="2"/>
    </xf>
    <xf numFmtId="0" fontId="0" fillId="0" borderId="1" xfId="0" applyBorder="1" applyAlignment="1">
      <alignment horizontal="right" indent="1"/>
    </xf>
    <xf numFmtId="9" fontId="0" fillId="4" borderId="1" xfId="0" applyNumberFormat="1" applyFill="1" applyBorder="1" applyAlignment="1">
      <alignment horizontal="right" indent="1"/>
    </xf>
    <xf numFmtId="1" fontId="0" fillId="5" borderId="1" xfId="1" applyNumberFormat="1" applyFont="1" applyFill="1" applyBorder="1" applyAlignment="1">
      <alignment horizontal="right" vertical="center" indent="2"/>
    </xf>
    <xf numFmtId="0" fontId="2" fillId="0" borderId="4" xfId="0" applyFont="1" applyBorder="1" applyAlignment="1">
      <alignment horizontal="center" vertical="center"/>
    </xf>
    <xf numFmtId="0" fontId="0" fillId="4" borderId="1" xfId="0" applyFill="1" applyBorder="1" applyAlignment="1">
      <alignment horizontal="right" indent="1"/>
    </xf>
    <xf numFmtId="0" fontId="0" fillId="4" borderId="1" xfId="0" applyFill="1" applyBorder="1" applyAlignment="1">
      <alignment horizontal="left" indent="1"/>
    </xf>
    <xf numFmtId="0" fontId="0" fillId="0" borderId="6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2" fontId="0" fillId="0" borderId="0" xfId="0" applyNumberFormat="1" applyAlignment="1">
      <alignment horizontal="right" indent="1"/>
    </xf>
    <xf numFmtId="0" fontId="5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4" fontId="0" fillId="0" borderId="0" xfId="0" applyNumberFormat="1"/>
    <xf numFmtId="14" fontId="0" fillId="0" borderId="0" xfId="0" applyNumberFormat="1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applyAlignment="1">
      <alignment horizontal="center" vertical="center"/>
    </xf>
    <xf numFmtId="164" fontId="0" fillId="4" borderId="1" xfId="0" applyNumberFormat="1" applyFill="1" applyBorder="1" applyAlignment="1">
      <alignment horizontal="right" indent="1"/>
    </xf>
    <xf numFmtId="164" fontId="0" fillId="0" borderId="3" xfId="0" applyNumberFormat="1" applyBorder="1"/>
    <xf numFmtId="0" fontId="0" fillId="0" borderId="7" xfId="0" applyBorder="1"/>
    <xf numFmtId="164" fontId="0" fillId="0" borderId="8" xfId="0" applyNumberFormat="1" applyBorder="1"/>
    <xf numFmtId="0" fontId="1" fillId="9" borderId="1" xfId="0" applyFont="1" applyFill="1" applyBorder="1"/>
    <xf numFmtId="164" fontId="0" fillId="0" borderId="1" xfId="2" applyNumberFormat="1" applyFont="1" applyBorder="1"/>
    <xf numFmtId="0" fontId="1" fillId="9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0" fillId="12" borderId="1" xfId="0" applyFill="1" applyBorder="1"/>
    <xf numFmtId="164" fontId="0" fillId="12" borderId="1" xfId="0" applyNumberFormat="1" applyFill="1" applyBorder="1"/>
    <xf numFmtId="0" fontId="0" fillId="12" borderId="1" xfId="0" applyFill="1" applyBorder="1" applyAlignment="1">
      <alignment horizontal="right" indent="1"/>
    </xf>
    <xf numFmtId="9" fontId="0" fillId="4" borderId="1" xfId="1" applyFont="1" applyFill="1" applyBorder="1" applyAlignment="1">
      <alignment horizontal="right" indent="1"/>
    </xf>
    <xf numFmtId="0" fontId="1" fillId="6" borderId="8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0" fillId="13" borderId="8" xfId="0" applyFill="1" applyBorder="1"/>
    <xf numFmtId="164" fontId="0" fillId="13" borderId="8" xfId="0" applyNumberFormat="1" applyFill="1" applyBorder="1" applyAlignment="1">
      <alignment horizontal="right" indent="1"/>
    </xf>
    <xf numFmtId="14" fontId="0" fillId="13" borderId="8" xfId="0" applyNumberFormat="1" applyFill="1" applyBorder="1" applyAlignment="1">
      <alignment horizontal="right" indent="1"/>
    </xf>
    <xf numFmtId="0" fontId="0" fillId="0" borderId="8" xfId="0" applyBorder="1"/>
    <xf numFmtId="164" fontId="0" fillId="0" borderId="8" xfId="0" applyNumberFormat="1" applyBorder="1" applyAlignment="1">
      <alignment horizontal="right" indent="1"/>
    </xf>
    <xf numFmtId="14" fontId="0" fillId="0" borderId="8" xfId="0" applyNumberFormat="1" applyBorder="1" applyAlignment="1">
      <alignment horizontal="right" indent="1"/>
    </xf>
    <xf numFmtId="0" fontId="0" fillId="13" borderId="3" xfId="0" applyFill="1" applyBorder="1"/>
    <xf numFmtId="164" fontId="0" fillId="13" borderId="3" xfId="0" applyNumberFormat="1" applyFill="1" applyBorder="1" applyAlignment="1">
      <alignment horizontal="right" indent="1"/>
    </xf>
    <xf numFmtId="14" fontId="0" fillId="13" borderId="3" xfId="0" applyNumberFormat="1" applyFill="1" applyBorder="1" applyAlignment="1">
      <alignment horizontal="right" inden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left" indent="1"/>
    </xf>
    <xf numFmtId="0" fontId="0" fillId="4" borderId="8" xfId="0" applyFill="1" applyBorder="1" applyAlignment="1">
      <alignment horizontal="left" indent="1"/>
    </xf>
    <xf numFmtId="0" fontId="2" fillId="0" borderId="0" xfId="0" applyFont="1" applyAlignment="1">
      <alignment horizontal="center" vertical="center"/>
    </xf>
    <xf numFmtId="165" fontId="0" fillId="0" borderId="1" xfId="0" applyNumberFormat="1" applyBorder="1" applyAlignment="1">
      <alignment horizontal="right" indent="1"/>
    </xf>
    <xf numFmtId="165" fontId="0" fillId="0" borderId="7" xfId="0" applyNumberFormat="1" applyBorder="1" applyAlignment="1">
      <alignment horizontal="right" inden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</cellXfs>
  <cellStyles count="3">
    <cellStyle name="Monétaire" xfId="2" builtinId="4"/>
    <cellStyle name="Normal" xfId="0" builtinId="0"/>
    <cellStyle name="Pourcentage" xfId="1" builtinId="5"/>
  </cellStyles>
  <dxfs count="41">
    <dxf>
      <numFmt numFmtId="0" formatCode="General"/>
      <fill>
        <patternFill patternType="solid">
          <fgColor indexed="64"/>
          <bgColor theme="7" tint="0.59999389629810485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0.0"/>
      <alignment horizontal="righ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0" indent="0" justifyLastLine="0" shrinkToFit="0" readingOrder="0"/>
    </dxf>
    <dxf>
      <numFmt numFmtId="164" formatCode="#,##0.00\ &quot;€&quot;"/>
      <alignment horizontal="right" vertical="bottom" textRotation="0" wrapText="0" indent="1" justifyLastLine="0" shrinkToFit="0" readingOrder="0"/>
    </dxf>
    <dxf>
      <numFmt numFmtId="19" formatCode="dd/mm/yyyy"/>
      <alignment horizontal="right" vertical="bottom" textRotation="0" wrapText="0" indent="1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0\ &quot;€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righ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194128</xdr:colOff>
      <xdr:row>8</xdr:row>
      <xdr:rowOff>127908</xdr:rowOff>
    </xdr:from>
    <xdr:to>
      <xdr:col>3</xdr:col>
      <xdr:colOff>861332</xdr:colOff>
      <xdr:row>12</xdr:row>
      <xdr:rowOff>127000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E3F94E3A-7294-47C7-A8E5-CCF7D3B6851D}"/>
            </a:ext>
          </a:extLst>
        </xdr:cNvPr>
        <xdr:cNvSpPr txBox="1"/>
      </xdr:nvSpPr>
      <xdr:spPr>
        <a:xfrm>
          <a:off x="194128" y="1543958"/>
          <a:ext cx="3759654" cy="761092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300" b="0">
              <a:solidFill>
                <a:schemeClr val="accent6">
                  <a:lumMod val="50000"/>
                </a:schemeClr>
              </a:solidFill>
            </a:rPr>
            <a:t>L'étudiant peut rejoindre le Club uniquement s'il a lu </a:t>
          </a:r>
          <a:r>
            <a:rPr lang="fr-FR" sz="1300" b="0" u="sng">
              <a:solidFill>
                <a:schemeClr val="accent6">
                  <a:lumMod val="50000"/>
                </a:schemeClr>
              </a:solidFill>
            </a:rPr>
            <a:t>plus de 5 livres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. </a:t>
          </a:r>
          <a:br>
            <a:rPr lang="fr-FR" sz="1300" b="0">
              <a:solidFill>
                <a:schemeClr val="accent6">
                  <a:lumMod val="50000"/>
                </a:schemeClr>
              </a:solidFill>
            </a:rPr>
          </a:b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(Afficher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</a:rPr>
            <a:t>peut rejoindre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ou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</a:rPr>
            <a:t>ne peut pas rejoindre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8</xdr:row>
      <xdr:rowOff>165100</xdr:rowOff>
    </xdr:from>
    <xdr:to>
      <xdr:col>4</xdr:col>
      <xdr:colOff>120650</xdr:colOff>
      <xdr:row>11</xdr:row>
      <xdr:rowOff>177800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69022D5C-D392-4E28-A7D5-FFC7F62B3759}"/>
            </a:ext>
          </a:extLst>
        </xdr:cNvPr>
        <xdr:cNvSpPr txBox="1"/>
      </xdr:nvSpPr>
      <xdr:spPr>
        <a:xfrm>
          <a:off x="76200" y="1574800"/>
          <a:ext cx="3578225" cy="5842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300" b="0">
              <a:solidFill>
                <a:schemeClr val="accent6">
                  <a:lumMod val="50000"/>
                </a:schemeClr>
              </a:solidFill>
            </a:rPr>
            <a:t>Dans la colonne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Activité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, indiquer</a:t>
          </a:r>
          <a:r>
            <a:rPr lang="fr-FR" sz="1300" b="0" baseline="0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</a:rPr>
            <a:t>Football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pour les garçons et</a:t>
          </a:r>
          <a:r>
            <a:rPr lang="fr-FR" sz="1300" b="0" baseline="0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</a:rPr>
            <a:t>Danse classique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pour les filles.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125721</xdr:colOff>
      <xdr:row>9</xdr:row>
      <xdr:rowOff>95251</xdr:rowOff>
    </xdr:from>
    <xdr:to>
      <xdr:col>4</xdr:col>
      <xdr:colOff>1544411</xdr:colOff>
      <xdr:row>14</xdr:row>
      <xdr:rowOff>102054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734D34E1-DAD1-4C6A-B989-CA86C0CFA13E}"/>
            </a:ext>
          </a:extLst>
        </xdr:cNvPr>
        <xdr:cNvSpPr txBox="1"/>
      </xdr:nvSpPr>
      <xdr:spPr>
        <a:xfrm>
          <a:off x="125721" y="1762126"/>
          <a:ext cx="5024583" cy="959303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300" b="0">
              <a:solidFill>
                <a:schemeClr val="accent6">
                  <a:lumMod val="50000"/>
                </a:schemeClr>
              </a:solidFill>
            </a:rPr>
            <a:t>L'étudiant peut participer uniquement s'il a </a:t>
          </a:r>
          <a:r>
            <a:rPr lang="fr-FR" sz="1300" b="0" u="sng">
              <a:solidFill>
                <a:schemeClr val="accent6">
                  <a:lumMod val="50000"/>
                </a:schemeClr>
              </a:solidFill>
            </a:rPr>
            <a:t>plus de 8 ans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ET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un score </a:t>
          </a:r>
          <a:r>
            <a:rPr lang="fr-FR" sz="1300" b="0" u="sng">
              <a:solidFill>
                <a:schemeClr val="accent6">
                  <a:lumMod val="50000"/>
                </a:schemeClr>
              </a:solidFill>
            </a:rPr>
            <a:t>supérieur à 15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.</a:t>
          </a:r>
        </a:p>
        <a:p>
          <a:pPr algn="ctr"/>
          <a:r>
            <a:rPr lang="fr-FR" sz="1300" b="0">
              <a:solidFill>
                <a:schemeClr val="accent6">
                  <a:lumMod val="50000"/>
                </a:schemeClr>
              </a:solidFill>
            </a:rPr>
            <a:t>(</a:t>
          </a:r>
          <a:r>
            <a:rPr lang="fr-FR" sz="13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Afficher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Vrai</a:t>
          </a:r>
          <a:r>
            <a:rPr lang="fr-FR" sz="13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ou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Faux</a:t>
          </a:r>
          <a:r>
            <a:rPr lang="fr-FR" sz="13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dans la</a:t>
          </a:r>
          <a:r>
            <a:rPr lang="fr-FR" sz="1300" b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colonne </a:t>
          </a:r>
          <a:r>
            <a:rPr lang="fr-FR" sz="1300" b="1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Critères Satisfaits</a:t>
          </a:r>
          <a:r>
            <a:rPr lang="fr-FR" sz="1300" b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, et</a:t>
          </a:r>
          <a:r>
            <a:rPr lang="fr-FR" sz="13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participe</a:t>
          </a:r>
          <a:r>
            <a:rPr lang="fr-FR" sz="13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ou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ne participe pas</a:t>
          </a:r>
          <a:r>
            <a:rPr lang="fr-FR" sz="13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dans la colonne </a:t>
          </a:r>
          <a:r>
            <a:rPr lang="fr-FR" sz="1300" b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Participation au Concours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147006</xdr:colOff>
      <xdr:row>9</xdr:row>
      <xdr:rowOff>92985</xdr:rowOff>
    </xdr:from>
    <xdr:to>
      <xdr:col>4</xdr:col>
      <xdr:colOff>1524001</xdr:colOff>
      <xdr:row>14</xdr:row>
      <xdr:rowOff>88446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9FE38E48-F5AA-4F11-9520-E31E8CCABD7E}"/>
            </a:ext>
          </a:extLst>
        </xdr:cNvPr>
        <xdr:cNvSpPr txBox="1"/>
      </xdr:nvSpPr>
      <xdr:spPr>
        <a:xfrm>
          <a:off x="147006" y="1759860"/>
          <a:ext cx="4982888" cy="947961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300" b="0">
              <a:solidFill>
                <a:schemeClr val="accent6">
                  <a:lumMod val="50000"/>
                </a:schemeClr>
              </a:solidFill>
            </a:rPr>
            <a:t>L'étudiant peut participer s'il a </a:t>
          </a:r>
          <a:r>
            <a:rPr lang="fr-FR" sz="1300" b="0" u="sng">
              <a:solidFill>
                <a:schemeClr val="accent6">
                  <a:lumMod val="50000"/>
                </a:schemeClr>
              </a:solidFill>
            </a:rPr>
            <a:t>plus de 8 ans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OU bien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s'il a un score </a:t>
          </a:r>
          <a:r>
            <a:rPr lang="fr-FR" sz="1300" b="0" u="sng">
              <a:solidFill>
                <a:schemeClr val="accent6">
                  <a:lumMod val="50000"/>
                </a:schemeClr>
              </a:solidFill>
            </a:rPr>
            <a:t>supérieur à 15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.</a:t>
          </a:r>
        </a:p>
        <a:p>
          <a:pPr algn="ctr"/>
          <a:r>
            <a:rPr lang="fr-FR" sz="1300" b="0">
              <a:solidFill>
                <a:schemeClr val="accent6">
                  <a:lumMod val="50000"/>
                </a:schemeClr>
              </a:solidFill>
            </a:rPr>
            <a:t>(Afficher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</a:rPr>
            <a:t>Vrai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ou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</a:rPr>
            <a:t>Faux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dans la colonne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Critères Satisfaits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, et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</a:rPr>
            <a:t>participe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ou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</a:rPr>
            <a:t>ne participe pas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dans la colonne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Participation au Concours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383401</xdr:colOff>
      <xdr:row>10</xdr:row>
      <xdr:rowOff>52630</xdr:rowOff>
    </xdr:from>
    <xdr:to>
      <xdr:col>6</xdr:col>
      <xdr:colOff>537482</xdr:colOff>
      <xdr:row>13</xdr:row>
      <xdr:rowOff>110058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6966AAFC-9F1A-4CCD-818C-7863458DC94C}"/>
            </a:ext>
          </a:extLst>
        </xdr:cNvPr>
        <xdr:cNvSpPr txBox="1"/>
      </xdr:nvSpPr>
      <xdr:spPr>
        <a:xfrm>
          <a:off x="1383526" y="1916809"/>
          <a:ext cx="4460742" cy="628928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400" b="0">
              <a:solidFill>
                <a:schemeClr val="accent6">
                  <a:lumMod val="50000"/>
                </a:schemeClr>
              </a:solidFill>
            </a:rPr>
            <a:t>Pour valider le module, l'étudiant doit avoir une moyenne de </a:t>
          </a:r>
          <a:r>
            <a:rPr lang="fr-FR" sz="1400" b="1">
              <a:solidFill>
                <a:schemeClr val="accent6">
                  <a:lumMod val="50000"/>
                </a:schemeClr>
              </a:solidFill>
            </a:rPr>
            <a:t>10 ou plus</a:t>
          </a:r>
          <a:r>
            <a:rPr lang="fr-FR" sz="1400" b="0">
              <a:solidFill>
                <a:schemeClr val="accent6">
                  <a:lumMod val="50000"/>
                </a:schemeClr>
              </a:solidFill>
            </a:rPr>
            <a:t> et un taux d'absences </a:t>
          </a:r>
          <a:r>
            <a:rPr lang="fr-FR" sz="1400" b="1">
              <a:solidFill>
                <a:schemeClr val="accent6">
                  <a:lumMod val="50000"/>
                </a:schemeClr>
              </a:solidFill>
            </a:rPr>
            <a:t>inférieur à 20%.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315055</xdr:colOff>
      <xdr:row>3</xdr:row>
      <xdr:rowOff>51290</xdr:rowOff>
    </xdr:from>
    <xdr:to>
      <xdr:col>9</xdr:col>
      <xdr:colOff>674074</xdr:colOff>
      <xdr:row>13</xdr:row>
      <xdr:rowOff>58616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E637888-63CD-4C40-8399-92738EA36B79}"/>
            </a:ext>
          </a:extLst>
        </xdr:cNvPr>
        <xdr:cNvSpPr txBox="1"/>
      </xdr:nvSpPr>
      <xdr:spPr>
        <a:xfrm>
          <a:off x="5224093" y="293078"/>
          <a:ext cx="4169019" cy="196361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400" b="0">
              <a:solidFill>
                <a:schemeClr val="accent6">
                  <a:lumMod val="50000"/>
                </a:schemeClr>
              </a:solidFill>
            </a:rPr>
            <a:t>Ajouter une prime de 5% du chiffre d'affaires pour chaque représentant qui remplit au moins une des conditions suivantes :</a:t>
          </a:r>
        </a:p>
        <a:p>
          <a:pPr algn="l"/>
          <a:r>
            <a:rPr lang="fr-FR" sz="1400" b="0">
              <a:solidFill>
                <a:schemeClr val="accent6">
                  <a:lumMod val="50000"/>
                </a:schemeClr>
              </a:solidFill>
            </a:rPr>
            <a:t>• Avoir plus de 4 ans d'ancienneté.</a:t>
          </a:r>
        </a:p>
        <a:p>
          <a:pPr algn="l"/>
          <a:r>
            <a:rPr lang="fr-FR" sz="1400" b="0">
              <a:solidFill>
                <a:schemeClr val="accent6">
                  <a:lumMod val="50000"/>
                </a:schemeClr>
              </a:solidFill>
            </a:rPr>
            <a:t>• Avoir un chiffre d'affaires supérieur à 20 000 €.</a:t>
          </a:r>
        </a:p>
        <a:p>
          <a:pPr algn="l"/>
          <a:endParaRPr lang="fr-FR" sz="1400" b="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lang="fr-FR" sz="1400" b="0">
              <a:solidFill>
                <a:schemeClr val="accent6">
                  <a:lumMod val="50000"/>
                </a:schemeClr>
              </a:solidFill>
            </a:rPr>
            <a:t>La prime sera calculée en multipliant le taux de la prime par le chiffre d'affaires.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399653</xdr:colOff>
      <xdr:row>8</xdr:row>
      <xdr:rowOff>109537</xdr:rowOff>
    </xdr:from>
    <xdr:to>
      <xdr:col>4</xdr:col>
      <xdr:colOff>679451</xdr:colOff>
      <xdr:row>14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AB8DC95B-4A2A-445D-BF4C-162DBD0080CD}"/>
            </a:ext>
          </a:extLst>
        </xdr:cNvPr>
        <xdr:cNvSpPr txBox="1"/>
      </xdr:nvSpPr>
      <xdr:spPr>
        <a:xfrm>
          <a:off x="399653" y="1506537"/>
          <a:ext cx="4585098" cy="1166813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 sz="1100" b="0">
              <a:solidFill>
                <a:schemeClr val="accent5">
                  <a:lumMod val="50000"/>
                </a:schemeClr>
              </a:solidFill>
            </a:rPr>
            <a:t>Indiquer dans la colonne Statut si chaque produit est </a:t>
          </a:r>
          <a:r>
            <a:rPr lang="fr-FR" sz="1100" b="1" i="1">
              <a:solidFill>
                <a:schemeClr val="accent5">
                  <a:lumMod val="50000"/>
                </a:schemeClr>
              </a:solidFill>
            </a:rPr>
            <a:t>Expiré</a:t>
          </a:r>
          <a:r>
            <a:rPr lang="fr-FR" sz="1100" b="0">
              <a:solidFill>
                <a:schemeClr val="accent5">
                  <a:lumMod val="50000"/>
                </a:schemeClr>
              </a:solidFill>
            </a:rPr>
            <a:t> ou </a:t>
          </a:r>
          <a:br>
            <a:rPr lang="fr-FR" sz="1100" b="0">
              <a:solidFill>
                <a:schemeClr val="accent5">
                  <a:lumMod val="50000"/>
                </a:schemeClr>
              </a:solidFill>
            </a:rPr>
          </a:br>
          <a:r>
            <a:rPr lang="fr-FR" sz="1100" b="1" i="1">
              <a:solidFill>
                <a:schemeClr val="accent5">
                  <a:lumMod val="50000"/>
                </a:schemeClr>
              </a:solidFill>
            </a:rPr>
            <a:t>Non expiré</a:t>
          </a:r>
          <a:r>
            <a:rPr lang="fr-FR" sz="1100" b="0">
              <a:solidFill>
                <a:schemeClr val="accent5">
                  <a:lumMod val="50000"/>
                </a:schemeClr>
              </a:solidFill>
            </a:rPr>
            <a:t> en comparant sa Date d'Expiration avec la date d'aujourd'hui. </a:t>
          </a:r>
        </a:p>
        <a:p>
          <a:pPr algn="l"/>
          <a:endParaRPr lang="fr-FR" sz="500" b="0">
            <a:solidFill>
              <a:schemeClr val="accent5">
                <a:lumMod val="50000"/>
              </a:schemeClr>
            </a:solidFill>
          </a:endParaRPr>
        </a:p>
        <a:p>
          <a:pPr algn="l"/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 sz="1100" b="0">
              <a:solidFill>
                <a:schemeClr val="accent5">
                  <a:lumMod val="50000"/>
                </a:schemeClr>
              </a:solidFill>
            </a:rPr>
            <a:t>Appliquer une </a:t>
          </a:r>
          <a:r>
            <a:rPr lang="fr-FR" sz="1100" b="1">
              <a:solidFill>
                <a:schemeClr val="accent5">
                  <a:lumMod val="50000"/>
                </a:schemeClr>
              </a:solidFill>
            </a:rPr>
            <a:t>mise en forme conditionnelle</a:t>
          </a:r>
          <a:r>
            <a:rPr lang="fr-FR" sz="1100" b="0">
              <a:solidFill>
                <a:schemeClr val="accent5">
                  <a:lumMod val="50000"/>
                </a:schemeClr>
              </a:solidFill>
            </a:rPr>
            <a:t> pour </a:t>
          </a:r>
          <a:r>
            <a:rPr lang="fr-FR" sz="1100" b="0" u="sng">
              <a:solidFill>
                <a:schemeClr val="accent5">
                  <a:lumMod val="50000"/>
                </a:schemeClr>
              </a:solidFill>
            </a:rPr>
            <a:t>mettre en surbrillance</a:t>
          </a:r>
          <a:r>
            <a:rPr lang="fr-FR" sz="1100" b="0">
              <a:solidFill>
                <a:schemeClr val="accent5">
                  <a:lumMod val="50000"/>
                </a:schemeClr>
              </a:solidFill>
            </a:rPr>
            <a:t> (colorer) le statut des </a:t>
          </a:r>
          <a:r>
            <a:rPr lang="fr-FR" sz="11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produits</a:t>
          </a:r>
          <a:r>
            <a:rPr lang="fr-FR" sz="1100" b="1">
              <a:solidFill>
                <a:srgbClr val="C00000"/>
              </a:solidFill>
            </a:rPr>
            <a:t> expirés</a:t>
          </a:r>
          <a:r>
            <a:rPr lang="fr-FR" sz="1100" b="0">
              <a:solidFill>
                <a:schemeClr val="accent5">
                  <a:lumMod val="50000"/>
                </a:schemeClr>
              </a:solidFill>
            </a:rPr>
            <a:t> en rouge et ceux </a:t>
          </a:r>
          <a:r>
            <a:rPr lang="fr-FR" sz="1100" b="1">
              <a:solidFill>
                <a:schemeClr val="accent6">
                  <a:lumMod val="75000"/>
                </a:schemeClr>
              </a:solidFill>
            </a:rPr>
            <a:t>non expirés</a:t>
          </a:r>
          <a:r>
            <a:rPr lang="fr-FR" sz="1100" b="0">
              <a:solidFill>
                <a:schemeClr val="accent5">
                  <a:lumMod val="50000"/>
                </a:schemeClr>
              </a:solidFill>
            </a:rPr>
            <a:t> en vert.</a:t>
          </a:r>
        </a:p>
        <a:p>
          <a:pPr algn="l"/>
          <a:endParaRPr lang="fr-FR" sz="5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fr-FR" sz="11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Trier la colonne Statut sur la base des couleurs.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211095</xdr:colOff>
      <xdr:row>3</xdr:row>
      <xdr:rowOff>164294</xdr:rowOff>
    </xdr:from>
    <xdr:to>
      <xdr:col>8</xdr:col>
      <xdr:colOff>718038</xdr:colOff>
      <xdr:row>12</xdr:row>
      <xdr:rowOff>7327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DEBDB6BE-9E21-4E6C-9D0F-4E173230CCF8}"/>
            </a:ext>
          </a:extLst>
        </xdr:cNvPr>
        <xdr:cNvSpPr txBox="1"/>
      </xdr:nvSpPr>
      <xdr:spPr>
        <a:xfrm>
          <a:off x="4035749" y="354794"/>
          <a:ext cx="4316943" cy="1557533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>
              <a:solidFill>
                <a:schemeClr val="accent5">
                  <a:lumMod val="50000"/>
                </a:schemeClr>
              </a:solidFill>
            </a:rPr>
            <a:t>Appliquer une mise en forme conditionnelle aux cellules de la colonne </a:t>
          </a:r>
          <a:r>
            <a:rPr lang="fr-FR" b="1">
              <a:solidFill>
                <a:schemeClr val="accent5">
                  <a:lumMod val="50000"/>
                </a:schemeClr>
              </a:solidFill>
            </a:rPr>
            <a:t>Moyenne Générale</a:t>
          </a:r>
          <a:r>
            <a:rPr lang="fr-FR">
              <a:solidFill>
                <a:schemeClr val="accent5">
                  <a:lumMod val="50000"/>
                </a:schemeClr>
              </a:solidFill>
            </a:rPr>
            <a:t> selon les critères suivants :</a:t>
          </a:r>
        </a:p>
        <a:p>
          <a:endParaRPr lang="fr-FR" sz="500">
            <a:solidFill>
              <a:schemeClr val="accent5">
                <a:lumMod val="50000"/>
              </a:schemeClr>
            </a:solidFill>
          </a:endParaRPr>
        </a:p>
        <a:p>
          <a:r>
            <a:rPr lang="fr-FR" sz="1050">
              <a:solidFill>
                <a:schemeClr val="accent5">
                  <a:lumMod val="50000"/>
                </a:schemeClr>
              </a:solidFill>
            </a:rPr>
            <a:t>- Mettre en </a:t>
          </a:r>
          <a:r>
            <a:rPr lang="fr-FR" sz="1050" b="1">
              <a:solidFill>
                <a:schemeClr val="accent5">
                  <a:lumMod val="50000"/>
                </a:schemeClr>
              </a:solidFill>
            </a:rPr>
            <a:t>rouge</a:t>
          </a:r>
          <a:r>
            <a:rPr lang="fr-FR" sz="1050">
              <a:solidFill>
                <a:schemeClr val="accent5">
                  <a:lumMod val="50000"/>
                </a:schemeClr>
              </a:solidFill>
            </a:rPr>
            <a:t> les cellules dont la note est inférieure à 10.</a:t>
          </a:r>
        </a:p>
        <a:p>
          <a:r>
            <a:rPr lang="fr-FR" sz="1050">
              <a:solidFill>
                <a:schemeClr val="accent5">
                  <a:lumMod val="50000"/>
                </a:schemeClr>
              </a:solidFill>
            </a:rPr>
            <a:t>- Mettre en </a:t>
          </a:r>
          <a:r>
            <a:rPr lang="fr-FR" sz="1050" b="1">
              <a:solidFill>
                <a:schemeClr val="accent5">
                  <a:lumMod val="50000"/>
                </a:schemeClr>
              </a:solidFill>
            </a:rPr>
            <a:t>jaune</a:t>
          </a:r>
          <a:r>
            <a:rPr lang="fr-FR" sz="1050">
              <a:solidFill>
                <a:schemeClr val="accent5">
                  <a:lumMod val="50000"/>
                </a:schemeClr>
              </a:solidFill>
            </a:rPr>
            <a:t> les cellules dont la note est comprise entre 10 et 12.</a:t>
          </a:r>
        </a:p>
        <a:p>
          <a:r>
            <a:rPr lang="fr-FR" sz="1050">
              <a:solidFill>
                <a:schemeClr val="accent5">
                  <a:lumMod val="50000"/>
                </a:schemeClr>
              </a:solidFill>
            </a:rPr>
            <a:t>- Mettre en </a:t>
          </a:r>
          <a:r>
            <a:rPr lang="fr-FR" sz="1050" b="1">
              <a:solidFill>
                <a:schemeClr val="accent5">
                  <a:lumMod val="50000"/>
                </a:schemeClr>
              </a:solidFill>
            </a:rPr>
            <a:t>vert</a:t>
          </a:r>
          <a:r>
            <a:rPr lang="fr-FR" sz="1050">
              <a:solidFill>
                <a:schemeClr val="accent5">
                  <a:lumMod val="50000"/>
                </a:schemeClr>
              </a:solidFill>
            </a:rPr>
            <a:t> les cellules dont la note est supérieure à 12.</a:t>
          </a:r>
        </a:p>
        <a:p>
          <a:endParaRPr lang="fr-FR" sz="800">
            <a:solidFill>
              <a:schemeClr val="accent5">
                <a:lumMod val="50000"/>
              </a:schemeClr>
            </a:solidFill>
          </a:endParaRPr>
        </a:p>
        <a:p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>
              <a:solidFill>
                <a:schemeClr val="accent5">
                  <a:lumMod val="50000"/>
                </a:schemeClr>
              </a:solidFill>
            </a:rPr>
            <a:t>Trier la colonne Moyenne Générale </a:t>
          </a:r>
          <a:r>
            <a:rPr lang="fr-FR" b="1">
              <a:solidFill>
                <a:schemeClr val="accent5">
                  <a:lumMod val="50000"/>
                </a:schemeClr>
              </a:solidFill>
            </a:rPr>
            <a:t>par couleurs</a:t>
          </a:r>
          <a:r>
            <a:rPr lang="fr-FR">
              <a:solidFill>
                <a:schemeClr val="accent5">
                  <a:lumMod val="50000"/>
                </a:schemeClr>
              </a:solidFill>
            </a:rPr>
            <a:t> dans l'ordre suivant : </a:t>
          </a:r>
          <a:r>
            <a:rPr lang="fr-FR" b="0">
              <a:solidFill>
                <a:schemeClr val="accent5">
                  <a:lumMod val="50000"/>
                </a:schemeClr>
              </a:solidFill>
            </a:rPr>
            <a:t>vert → jaune → rouge.</a:t>
          </a:r>
        </a:p>
        <a:p>
          <a:endParaRPr lang="fr-FR">
            <a:solidFill>
              <a:schemeClr val="accent5">
                <a:lumMod val="50000"/>
              </a:schemeClr>
            </a:solidFill>
          </a:endParaRPr>
        </a:p>
        <a:p>
          <a:pPr algn="l"/>
          <a:endParaRPr lang="fr-FR" sz="1100" b="0">
            <a:solidFill>
              <a:schemeClr val="accent5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117432</xdr:colOff>
      <xdr:row>8</xdr:row>
      <xdr:rowOff>182672</xdr:rowOff>
    </xdr:from>
    <xdr:to>
      <xdr:col>7</xdr:col>
      <xdr:colOff>123956</xdr:colOff>
      <xdr:row>12</xdr:row>
      <xdr:rowOff>156574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3B2C1FC-F26B-4FA8-9EA9-C1FD4788E483}"/>
            </a:ext>
          </a:extLst>
        </xdr:cNvPr>
        <xdr:cNvSpPr txBox="1"/>
      </xdr:nvSpPr>
      <xdr:spPr>
        <a:xfrm>
          <a:off x="3503374" y="1611422"/>
          <a:ext cx="2935787" cy="730683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Indiquer le nombre de clients de </a:t>
          </a:r>
          <a:r>
            <a:rPr lang="fr-FR" sz="120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sexe féminin </a:t>
          </a:r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et le nombre de clients ayant </a:t>
          </a:r>
          <a:r>
            <a:rPr lang="fr-FR" sz="120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plus de 30 ans </a:t>
          </a:r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dans les cellules correspondantes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211667</xdr:colOff>
      <xdr:row>3</xdr:row>
      <xdr:rowOff>85989</xdr:rowOff>
    </xdr:from>
    <xdr:to>
      <xdr:col>10</xdr:col>
      <xdr:colOff>104746</xdr:colOff>
      <xdr:row>7</xdr:row>
      <xdr:rowOff>39687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719742CA-28FC-4446-92F7-9631C049A036}"/>
            </a:ext>
          </a:extLst>
        </xdr:cNvPr>
        <xdr:cNvSpPr txBox="1"/>
      </xdr:nvSpPr>
      <xdr:spPr>
        <a:xfrm>
          <a:off x="5251980" y="515937"/>
          <a:ext cx="2935787" cy="72099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Calculer le </a:t>
          </a:r>
          <a:r>
            <a:rPr lang="fr-FR" sz="120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chiffre d'affaires total</a:t>
          </a:r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pour </a:t>
          </a:r>
          <a:r>
            <a:rPr lang="fr-FR" sz="120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chaque période </a:t>
          </a:r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et pour </a:t>
          </a:r>
          <a:r>
            <a:rPr lang="fr-FR" sz="120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chaque région</a:t>
          </a:r>
          <a:r>
            <a:rPr lang="fr-FR" sz="1200" b="1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</a:t>
          </a:r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dans les deux tableaux récapitulatifs.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218280</xdr:colOff>
      <xdr:row>3</xdr:row>
      <xdr:rowOff>79376</xdr:rowOff>
    </xdr:from>
    <xdr:to>
      <xdr:col>10</xdr:col>
      <xdr:colOff>111359</xdr:colOff>
      <xdr:row>8</xdr:row>
      <xdr:rowOff>39687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B3F52041-2C7C-45A0-A1AA-5CCF6667508E}"/>
            </a:ext>
          </a:extLst>
        </xdr:cNvPr>
        <xdr:cNvSpPr txBox="1"/>
      </xdr:nvSpPr>
      <xdr:spPr>
        <a:xfrm>
          <a:off x="5132915" y="621772"/>
          <a:ext cx="2935788" cy="9194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Calculer le </a:t>
          </a:r>
          <a:r>
            <a:rPr lang="fr-FR" sz="120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chiffre d'affaires total</a:t>
          </a:r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pour </a:t>
          </a:r>
          <a:r>
            <a:rPr lang="fr-FR" sz="120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chaque période </a:t>
          </a:r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et pour </a:t>
          </a:r>
          <a:r>
            <a:rPr lang="fr-FR" sz="120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chaque région</a:t>
          </a:r>
          <a:r>
            <a:rPr lang="fr-FR" sz="1200" b="1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</a:t>
          </a:r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en utilisant le </a:t>
          </a:r>
          <a:r>
            <a:rPr lang="fr-FR" sz="1200" b="0" u="sng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tableau structuré</a:t>
          </a:r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des Chiffres d'Affaires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272142</xdr:colOff>
      <xdr:row>2</xdr:row>
      <xdr:rowOff>68036</xdr:rowOff>
    </xdr:from>
    <xdr:to>
      <xdr:col>8</xdr:col>
      <xdr:colOff>367393</xdr:colOff>
      <xdr:row>7</xdr:row>
      <xdr:rowOff>136072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1CFBC524-7187-4F16-B161-F14444042211}"/>
            </a:ext>
          </a:extLst>
        </xdr:cNvPr>
        <xdr:cNvSpPr txBox="1"/>
      </xdr:nvSpPr>
      <xdr:spPr>
        <a:xfrm>
          <a:off x="4306660" y="306161"/>
          <a:ext cx="3905251" cy="10477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200">
              <a:solidFill>
                <a:schemeClr val="accent6">
                  <a:lumMod val="50000"/>
                </a:schemeClr>
              </a:solidFill>
            </a:rPr>
            <a:t>En utilisant le </a:t>
          </a:r>
          <a:r>
            <a:rPr lang="fr-FR" sz="1200" b="1">
              <a:solidFill>
                <a:schemeClr val="accent6">
                  <a:lumMod val="50000"/>
                </a:schemeClr>
              </a:solidFill>
            </a:rPr>
            <a:t>tableau des transactions</a:t>
          </a:r>
          <a:r>
            <a:rPr lang="fr-FR" sz="1200">
              <a:solidFill>
                <a:schemeClr val="accent6">
                  <a:lumMod val="50000"/>
                </a:schemeClr>
              </a:solidFill>
            </a:rPr>
            <a:t>, remplir le tableau </a:t>
          </a:r>
          <a:r>
            <a:rPr lang="fr-FR" sz="1200" b="0">
              <a:solidFill>
                <a:schemeClr val="accent6">
                  <a:lumMod val="50000"/>
                </a:schemeClr>
              </a:solidFill>
            </a:rPr>
            <a:t>suivant</a:t>
          </a:r>
          <a:r>
            <a:rPr lang="fr-FR" sz="1200">
              <a:solidFill>
                <a:schemeClr val="accent6">
                  <a:lumMod val="50000"/>
                </a:schemeClr>
              </a:solidFill>
            </a:rPr>
            <a:t> en calculant pour chaque client :</a:t>
          </a:r>
        </a:p>
        <a:p>
          <a:endParaRPr lang="fr-FR" sz="500">
            <a:solidFill>
              <a:schemeClr val="accent6">
                <a:lumMod val="50000"/>
              </a:schemeClr>
            </a:solidFill>
          </a:endParaRPr>
        </a:p>
        <a:p>
          <a:r>
            <a:rPr lang="fr-FR" sz="1200">
              <a:solidFill>
                <a:schemeClr val="accent6">
                  <a:lumMod val="50000"/>
                </a:schemeClr>
              </a:solidFill>
            </a:rPr>
            <a:t>• Le </a:t>
          </a:r>
          <a:r>
            <a:rPr lang="fr-FR" sz="1200" b="1">
              <a:solidFill>
                <a:schemeClr val="accent6">
                  <a:lumMod val="50000"/>
                </a:schemeClr>
              </a:solidFill>
            </a:rPr>
            <a:t>nombre de transactions</a:t>
          </a:r>
          <a:r>
            <a:rPr lang="fr-FR" sz="1200">
              <a:solidFill>
                <a:schemeClr val="accent6">
                  <a:lumMod val="50000"/>
                </a:schemeClr>
              </a:solidFill>
            </a:rPr>
            <a:t> effectuées.</a:t>
          </a:r>
        </a:p>
        <a:p>
          <a:r>
            <a:rPr lang="fr-FR" sz="1200">
              <a:solidFill>
                <a:schemeClr val="accent6">
                  <a:lumMod val="50000"/>
                </a:schemeClr>
              </a:solidFill>
            </a:rPr>
            <a:t>• Le </a:t>
          </a:r>
          <a:r>
            <a:rPr lang="fr-FR" sz="1200" b="1">
              <a:solidFill>
                <a:schemeClr val="accent6">
                  <a:lumMod val="50000"/>
                </a:schemeClr>
              </a:solidFill>
            </a:rPr>
            <a:t>montant total</a:t>
          </a:r>
          <a:r>
            <a:rPr lang="fr-FR" sz="1200">
              <a:solidFill>
                <a:schemeClr val="accent6">
                  <a:lumMod val="50000"/>
                </a:schemeClr>
              </a:solidFill>
            </a:rPr>
            <a:t> de</a:t>
          </a:r>
          <a:r>
            <a:rPr lang="fr-FR" sz="1200" baseline="0">
              <a:solidFill>
                <a:schemeClr val="accent6">
                  <a:lumMod val="50000"/>
                </a:schemeClr>
              </a:solidFill>
            </a:rPr>
            <a:t> ses</a:t>
          </a:r>
          <a:r>
            <a:rPr lang="fr-FR" sz="1200">
              <a:solidFill>
                <a:schemeClr val="accent6">
                  <a:lumMod val="50000"/>
                </a:schemeClr>
              </a:solidFill>
            </a:rPr>
            <a:t> transactions.</a:t>
          </a:r>
        </a:p>
        <a:p>
          <a:pPr algn="l"/>
          <a:endParaRPr lang="fr-FR" sz="1200" b="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116337</xdr:colOff>
      <xdr:row>11</xdr:row>
      <xdr:rowOff>109066</xdr:rowOff>
    </xdr:from>
    <xdr:to>
      <xdr:col>8</xdr:col>
      <xdr:colOff>305382</xdr:colOff>
      <xdr:row>15</xdr:row>
      <xdr:rowOff>130878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61A80DB-1F30-4500-9802-E591FF80881B}"/>
            </a:ext>
          </a:extLst>
        </xdr:cNvPr>
        <xdr:cNvSpPr txBox="1"/>
      </xdr:nvSpPr>
      <xdr:spPr>
        <a:xfrm>
          <a:off x="4333513" y="2101318"/>
          <a:ext cx="3388281" cy="77799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200">
              <a:solidFill>
                <a:schemeClr val="accent5">
                  <a:lumMod val="50000"/>
                </a:schemeClr>
              </a:solidFill>
            </a:rPr>
            <a:t>Utiliser le </a:t>
          </a:r>
          <a:r>
            <a:rPr lang="fr-FR" sz="1200" b="1">
              <a:solidFill>
                <a:schemeClr val="accent5">
                  <a:lumMod val="50000"/>
                </a:schemeClr>
              </a:solidFill>
            </a:rPr>
            <a:t>Tableau des Produits</a:t>
          </a:r>
          <a:r>
            <a:rPr lang="fr-FR" sz="1200">
              <a:solidFill>
                <a:schemeClr val="accent5">
                  <a:lumMod val="50000"/>
                </a:schemeClr>
              </a:solidFill>
            </a:rPr>
            <a:t> pour remplir les indicateurs suivants en fonction des critères </a:t>
          </a:r>
          <a:r>
            <a:rPr lang="fr-FR" sz="1200" b="1">
              <a:solidFill>
                <a:schemeClr val="accent5">
                  <a:lumMod val="50000"/>
                </a:schemeClr>
              </a:solidFill>
            </a:rPr>
            <a:t>Type Produit</a:t>
          </a:r>
          <a:r>
            <a:rPr lang="fr-FR" sz="1200">
              <a:solidFill>
                <a:schemeClr val="accent5">
                  <a:lumMod val="50000"/>
                </a:schemeClr>
              </a:solidFill>
            </a:rPr>
            <a:t> et </a:t>
          </a:r>
          <a:r>
            <a:rPr lang="fr-FR" sz="1200" b="1">
              <a:solidFill>
                <a:schemeClr val="accent5">
                  <a:lumMod val="50000"/>
                </a:schemeClr>
              </a:solidFill>
            </a:rPr>
            <a:t>Ville</a:t>
          </a:r>
          <a:r>
            <a:rPr lang="fr-FR" sz="1200">
              <a:solidFill>
                <a:schemeClr val="accent5">
                  <a:lumMod val="50000"/>
                </a:schemeClr>
              </a:solidFill>
            </a:rPr>
            <a:t>.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151491</xdr:colOff>
      <xdr:row>7</xdr:row>
      <xdr:rowOff>151462</xdr:rowOff>
    </xdr:from>
    <xdr:to>
      <xdr:col>9</xdr:col>
      <xdr:colOff>542193</xdr:colOff>
      <xdr:row>12</xdr:row>
      <xdr:rowOff>39714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100578FE-BC00-495F-A55A-73776F919C20}"/>
            </a:ext>
          </a:extLst>
        </xdr:cNvPr>
        <xdr:cNvSpPr txBox="1"/>
      </xdr:nvSpPr>
      <xdr:spPr>
        <a:xfrm>
          <a:off x="5023895" y="1477635"/>
          <a:ext cx="3739106" cy="840752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200">
              <a:solidFill>
                <a:schemeClr val="accent5">
                  <a:lumMod val="50000"/>
                </a:schemeClr>
              </a:solidFill>
            </a:rPr>
            <a:t>En utilisant le </a:t>
          </a:r>
          <a:r>
            <a:rPr lang="fr-FR" sz="1200" b="1">
              <a:solidFill>
                <a:schemeClr val="accent5">
                  <a:lumMod val="50000"/>
                </a:schemeClr>
              </a:solidFill>
            </a:rPr>
            <a:t>Barème des Augmentations</a:t>
          </a:r>
          <a:r>
            <a:rPr lang="fr-FR" sz="1200">
              <a:solidFill>
                <a:schemeClr val="accent5">
                  <a:lumMod val="50000"/>
                </a:schemeClr>
              </a:solidFill>
            </a:rPr>
            <a:t> basé sur l'ancienneté, calculez le </a:t>
          </a:r>
          <a:r>
            <a:rPr lang="fr-FR" sz="1200" b="1">
              <a:solidFill>
                <a:schemeClr val="accent5">
                  <a:lumMod val="50000"/>
                </a:schemeClr>
              </a:solidFill>
            </a:rPr>
            <a:t>pourcentage d'Augmentation </a:t>
          </a:r>
          <a:r>
            <a:rPr lang="fr-FR" sz="1200">
              <a:solidFill>
                <a:schemeClr val="accent5">
                  <a:lumMod val="50000"/>
                </a:schemeClr>
              </a:solidFill>
            </a:rPr>
            <a:t>et le </a:t>
          </a:r>
          <a:r>
            <a:rPr lang="fr-FR" sz="1200" b="1">
              <a:solidFill>
                <a:schemeClr val="accent5">
                  <a:lumMod val="50000"/>
                </a:schemeClr>
              </a:solidFill>
            </a:rPr>
            <a:t>nouveau salaire</a:t>
          </a:r>
          <a:r>
            <a:rPr lang="fr-FR" sz="1200">
              <a:solidFill>
                <a:schemeClr val="accent5">
                  <a:lumMod val="50000"/>
                </a:schemeClr>
              </a:solidFill>
            </a:rPr>
            <a:t> pour chaque salarié dans le tableau.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414187</xdr:colOff>
      <xdr:row>9</xdr:row>
      <xdr:rowOff>56831</xdr:rowOff>
    </xdr:from>
    <xdr:to>
      <xdr:col>9</xdr:col>
      <xdr:colOff>612320</xdr:colOff>
      <xdr:row>14</xdr:row>
      <xdr:rowOff>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60E6A36D-DCCF-4F2D-836F-70E82C3F2193}"/>
            </a:ext>
          </a:extLst>
        </xdr:cNvPr>
        <xdr:cNvSpPr txBox="1"/>
      </xdr:nvSpPr>
      <xdr:spPr>
        <a:xfrm>
          <a:off x="3986062" y="1750920"/>
          <a:ext cx="3470651" cy="8956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200">
              <a:solidFill>
                <a:schemeClr val="accent5">
                  <a:lumMod val="50000"/>
                </a:schemeClr>
              </a:solidFill>
            </a:rPr>
            <a:t>En utilisant le </a:t>
          </a:r>
          <a:r>
            <a:rPr lang="fr-FR" sz="1200" b="1">
              <a:solidFill>
                <a:schemeClr val="accent5">
                  <a:lumMod val="50000"/>
                </a:schemeClr>
              </a:solidFill>
            </a:rPr>
            <a:t>Barème des Notes</a:t>
          </a:r>
          <a:r>
            <a:rPr lang="fr-FR" sz="1200">
              <a:solidFill>
                <a:schemeClr val="accent5">
                  <a:lumMod val="50000"/>
                </a:schemeClr>
              </a:solidFill>
            </a:rPr>
            <a:t>, calculez la mention de chaque élève dans le tableau </a:t>
          </a:r>
        </a:p>
        <a:p>
          <a:pPr algn="l"/>
          <a:r>
            <a:rPr lang="fr-FR" sz="1200">
              <a:solidFill>
                <a:schemeClr val="accent5">
                  <a:lumMod val="50000"/>
                </a:schemeClr>
              </a:solidFill>
            </a:rPr>
            <a:t>(Utiliser la fonction </a:t>
          </a:r>
          <a:r>
            <a:rPr lang="fr-FR" sz="1200" b="1">
              <a:solidFill>
                <a:schemeClr val="accent5">
                  <a:lumMod val="50000"/>
                </a:schemeClr>
              </a:solidFill>
            </a:rPr>
            <a:t>SI.CONDITIONS </a:t>
          </a:r>
          <a:r>
            <a:rPr lang="fr-FR" sz="1200" b="0" i="1">
              <a:solidFill>
                <a:schemeClr val="accent5">
                  <a:lumMod val="50000"/>
                </a:schemeClr>
              </a:solidFill>
            </a:rPr>
            <a:t>si votre version d'Excel le supporte</a:t>
          </a:r>
          <a:r>
            <a:rPr lang="fr-FR" sz="1200">
              <a:solidFill>
                <a:schemeClr val="accent5">
                  <a:lumMod val="50000"/>
                </a:schemeClr>
              </a:solidFill>
            </a:rPr>
            <a:t>).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278D1B-0238-4CB8-835D-17F70D789171}" name="TabMoy" displayName="TabMoy" ref="A3:C54" totalsRowShown="0">
  <autoFilter ref="A3:C54" xr:uid="{1C278D1B-0238-4CB8-835D-17F70D789171}">
    <filterColumn colId="0" hiddenButton="1"/>
    <filterColumn colId="1" hiddenButton="1"/>
    <filterColumn colId="2" hiddenButton="1"/>
  </autoFilter>
  <sortState xmlns:xlrd2="http://schemas.microsoft.com/office/spreadsheetml/2017/richdata2" ref="A4:C54">
    <sortCondition sortBy="cellColor" ref="C4:C54" dxfId="4"/>
    <sortCondition sortBy="cellColor" ref="C4:C54" dxfId="3"/>
  </sortState>
  <tableColumns count="3">
    <tableColumn id="1" xr3:uid="{503404D7-B98D-46C2-B50D-95C04A22ABBC}" name="Nom et Prénom"/>
    <tableColumn id="2" xr3:uid="{0E59E1D9-818E-46A5-8683-6487C452F235}" name="Niveau" dataDxfId="40"/>
    <tableColumn id="3" xr3:uid="{9596D97F-6FCA-4C8D-B7F8-6BD30719D511}" name="Moyenne Générale" dataDxfId="3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BB381F-685F-41CD-9F45-CBE7F778FCE3}" name="TabCA" displayName="TabCA" ref="A3:C12" totalsRowShown="0" headerRowDxfId="38" headerRowBorderDxfId="37" tableBorderDxfId="36" totalsRowBorderDxfId="35">
  <autoFilter ref="A3:C12" xr:uid="{98BB381F-685F-41CD-9F45-CBE7F778FCE3}"/>
  <tableColumns count="3">
    <tableColumn id="1" xr3:uid="{526E2BC9-AECD-45E3-AEE3-5588BB7E3E76}" name="Période" dataDxfId="34"/>
    <tableColumn id="2" xr3:uid="{E9F43476-E6C7-495F-814E-FD0783BF9331}" name="Région" dataDxfId="33"/>
    <tableColumn id="3" xr3:uid="{ABF38236-DE5D-4D26-9ECE-D9F52AC590E1}" name="Chiffre Affaires" dataDxfId="32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88E4AA-FD0E-4014-BC02-44C7A4E9F3C2}" name="TabTransactions" displayName="TabTransactions" ref="A3:D31" totalsRowShown="0" headerRowDxfId="31">
  <autoFilter ref="A3:D31" xr:uid="{6A88E4AA-FD0E-4014-BC02-44C7A4E9F3C2}"/>
  <tableColumns count="4">
    <tableColumn id="1" xr3:uid="{BFF56215-FB6C-4C25-BFF3-073BA3648DBF}" name="ID Transaction" dataDxfId="30"/>
    <tableColumn id="2" xr3:uid="{FC4AB64D-370D-44A8-82FD-0DCFE883A277}" name="Nom Client"/>
    <tableColumn id="3" xr3:uid="{B3278E9D-4041-4715-A715-ABA8F63F9FDD}" name="Date Transaction" dataDxfId="29"/>
    <tableColumn id="4" xr3:uid="{EC2D62FF-D3B2-4777-AE8D-00B2A5FA8841}" name="Montant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540D2BA-422B-4FD9-AFF7-ADF432C2CBCB}" name="TabProduits" displayName="TabProduits" ref="A3:D18" totalsRowShown="0" headerRowDxfId="27">
  <autoFilter ref="A3:D18" xr:uid="{9540D2BA-422B-4FD9-AFF7-ADF432C2CBCB}"/>
  <tableColumns count="4">
    <tableColumn id="1" xr3:uid="{EC271585-D0BB-44D6-B548-FC8A222489C3}" name="Nom Produit" dataDxfId="26"/>
    <tableColumn id="2" xr3:uid="{BF51793A-1F78-4D0C-9467-CA953F5308D5}" name="Type Produit" dataDxfId="25"/>
    <tableColumn id="3" xr3:uid="{85D1A162-1277-4E80-AF9D-309C1865A097}" name="Ville" dataDxfId="24"/>
    <tableColumn id="4" xr3:uid="{80A98B71-3E90-4030-9433-7AC7AA9B6B88}" name="Total" dataDxfId="23" dataCellStyle="Monétaire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C440F3-ADF5-4AEC-989C-5D381948033A}" name="TabNotes" displayName="TabNotes" ref="A3:D23" totalsRowShown="0" headerRowDxfId="22" headerRowBorderDxfId="21" tableBorderDxfId="20" totalsRowBorderDxfId="19">
  <autoFilter ref="A3:D23" xr:uid="{1BC440F3-ADF5-4AEC-989C-5D381948033A}"/>
  <tableColumns count="4">
    <tableColumn id="1" xr3:uid="{122684AE-43F5-4018-A9EC-6FD51645351F}" name="Identifiant" dataDxfId="18"/>
    <tableColumn id="2" xr3:uid="{EF69D9E0-47F1-4FB1-BA59-59F4995350E1}" name="Nom de l'élève" dataDxfId="17"/>
    <tableColumn id="3" xr3:uid="{1619B8E1-DEF4-46C6-A48F-72468E1CF7C6}" name="Note" dataDxfId="16"/>
    <tableColumn id="4" xr3:uid="{0FE512B3-E6AE-4289-BF24-401A21D7C447}" name="Mention" dataDxfId="0">
      <calculatedColumnFormula>IF(TabNotes[[#This Row],[Note]]&gt;=16,"Bien",IF(TabNotes[[#This Row],[Note]]&gt;=12,"A. Bien",IF(TabNotes[[#This Row],[Note]]&gt;=10,"Passable","Insuffisant")))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1842-4AC4-4297-B63D-8EA237E8C2AC}">
  <dimension ref="A1:D8"/>
  <sheetViews>
    <sheetView tabSelected="1" zoomScale="142" zoomScaleNormal="130" workbookViewId="0">
      <selection sqref="A1:D1"/>
    </sheetView>
  </sheetViews>
  <sheetFormatPr baseColWidth="10" defaultRowHeight="15" x14ac:dyDescent="0.25"/>
  <cols>
    <col min="1" max="1" width="17.140625" bestFit="1" customWidth="1"/>
    <col min="2" max="2" width="7.85546875" customWidth="1"/>
    <col min="3" max="3" width="21.28515625" customWidth="1"/>
    <col min="4" max="4" width="21.85546875" customWidth="1"/>
  </cols>
  <sheetData>
    <row r="1" spans="1:4" ht="18.75" x14ac:dyDescent="0.25">
      <c r="A1" s="67" t="s">
        <v>19</v>
      </c>
      <c r="B1" s="67"/>
      <c r="C1" s="67"/>
      <c r="D1" s="67"/>
    </row>
    <row r="2" spans="1:4" ht="10.5" customHeight="1" x14ac:dyDescent="0.25">
      <c r="A2" s="5"/>
      <c r="B2" s="5"/>
      <c r="C2" s="5"/>
      <c r="D2" s="5"/>
    </row>
    <row r="3" spans="1:4" s="5" customFormat="1" ht="17.25" customHeight="1" x14ac:dyDescent="0.25">
      <c r="A3" s="4" t="s">
        <v>11</v>
      </c>
      <c r="B3" s="4" t="s">
        <v>1</v>
      </c>
      <c r="C3" s="4" t="s">
        <v>12</v>
      </c>
      <c r="D3" s="4" t="s">
        <v>13</v>
      </c>
    </row>
    <row r="4" spans="1:4" x14ac:dyDescent="0.25">
      <c r="A4" s="1" t="s">
        <v>14</v>
      </c>
      <c r="B4" s="3">
        <v>10</v>
      </c>
      <c r="C4" s="3">
        <v>7</v>
      </c>
      <c r="D4" s="10" t="str">
        <f>IF(C4&gt;5,"peut rejoindre","ne peut pas rejoindre")</f>
        <v>peut rejoindre</v>
      </c>
    </row>
    <row r="5" spans="1:4" x14ac:dyDescent="0.25">
      <c r="A5" s="1" t="s">
        <v>15</v>
      </c>
      <c r="B5" s="3">
        <v>12</v>
      </c>
      <c r="C5" s="3">
        <v>8</v>
      </c>
      <c r="D5" s="10" t="str">
        <f t="shared" ref="D5:D8" si="0">IF(C5&gt;5,"peut rejoindre","ne peut pas rejoindre")</f>
        <v>peut rejoindre</v>
      </c>
    </row>
    <row r="6" spans="1:4" x14ac:dyDescent="0.25">
      <c r="A6" s="1" t="s">
        <v>16</v>
      </c>
      <c r="B6" s="3">
        <v>9</v>
      </c>
      <c r="C6" s="3">
        <v>3</v>
      </c>
      <c r="D6" s="10" t="str">
        <f t="shared" si="0"/>
        <v>ne peut pas rejoindre</v>
      </c>
    </row>
    <row r="7" spans="1:4" x14ac:dyDescent="0.25">
      <c r="A7" s="1" t="s">
        <v>17</v>
      </c>
      <c r="B7" s="3">
        <v>11</v>
      </c>
      <c r="C7" s="3">
        <v>5</v>
      </c>
      <c r="D7" s="10" t="str">
        <f t="shared" si="0"/>
        <v>ne peut pas rejoindre</v>
      </c>
    </row>
    <row r="8" spans="1:4" x14ac:dyDescent="0.25">
      <c r="A8" s="1" t="s">
        <v>18</v>
      </c>
      <c r="B8" s="3">
        <v>8</v>
      </c>
      <c r="C8" s="3">
        <v>2</v>
      </c>
      <c r="D8" s="10" t="str">
        <f t="shared" si="0"/>
        <v>ne peut pas rejoindre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A5E7-264E-4F0D-B0DB-FB26C03020CC}">
  <dimension ref="A1:D8"/>
  <sheetViews>
    <sheetView zoomScale="150" zoomScaleNormal="150" workbookViewId="0">
      <selection sqref="A1:D1"/>
    </sheetView>
  </sheetViews>
  <sheetFormatPr baseColWidth="10" defaultRowHeight="15" x14ac:dyDescent="0.25"/>
  <cols>
    <col min="1" max="1" width="17.140625" bestFit="1" customWidth="1"/>
    <col min="2" max="2" width="6.7109375" customWidth="1"/>
    <col min="3" max="3" width="11.85546875" customWidth="1"/>
    <col min="4" max="4" width="17.28515625" customWidth="1"/>
  </cols>
  <sheetData>
    <row r="1" spans="1:4" ht="18.75" x14ac:dyDescent="0.25">
      <c r="A1" s="68" t="s">
        <v>190</v>
      </c>
      <c r="B1" s="69"/>
      <c r="C1" s="69"/>
      <c r="D1" s="70"/>
    </row>
    <row r="2" spans="1:4" ht="9.75" customHeight="1" x14ac:dyDescent="0.25"/>
    <row r="3" spans="1:4" ht="17.25" customHeight="1" x14ac:dyDescent="0.25">
      <c r="A3" s="4" t="s">
        <v>11</v>
      </c>
      <c r="B3" s="4" t="s">
        <v>1</v>
      </c>
      <c r="C3" s="4" t="s">
        <v>119</v>
      </c>
      <c r="D3" s="4" t="s">
        <v>191</v>
      </c>
    </row>
    <row r="4" spans="1:4" x14ac:dyDescent="0.25">
      <c r="A4" s="1" t="s">
        <v>14</v>
      </c>
      <c r="B4" s="3">
        <v>10</v>
      </c>
      <c r="C4" s="3" t="s">
        <v>122</v>
      </c>
      <c r="D4" s="10" t="str">
        <f>IF(C4="M","Football","Danse classique")</f>
        <v>Football</v>
      </c>
    </row>
    <row r="5" spans="1:4" x14ac:dyDescent="0.25">
      <c r="A5" s="1" t="s">
        <v>15</v>
      </c>
      <c r="B5" s="3">
        <v>12</v>
      </c>
      <c r="C5" s="3" t="s">
        <v>123</v>
      </c>
      <c r="D5" s="10" t="str">
        <f t="shared" ref="D5:D8" si="0">IF(C5="M","Football","Danse classique")</f>
        <v>Danse classique</v>
      </c>
    </row>
    <row r="6" spans="1:4" x14ac:dyDescent="0.25">
      <c r="A6" s="1" t="s">
        <v>16</v>
      </c>
      <c r="B6" s="3">
        <v>9</v>
      </c>
      <c r="C6" s="3" t="s">
        <v>123</v>
      </c>
      <c r="D6" s="10" t="str">
        <f t="shared" si="0"/>
        <v>Danse classique</v>
      </c>
    </row>
    <row r="7" spans="1:4" x14ac:dyDescent="0.25">
      <c r="A7" s="1" t="s">
        <v>17</v>
      </c>
      <c r="B7" s="3">
        <v>11</v>
      </c>
      <c r="C7" s="3" t="s">
        <v>123</v>
      </c>
      <c r="D7" s="10" t="str">
        <f t="shared" si="0"/>
        <v>Danse classique</v>
      </c>
    </row>
    <row r="8" spans="1:4" x14ac:dyDescent="0.25">
      <c r="A8" s="1" t="s">
        <v>18</v>
      </c>
      <c r="B8" s="3">
        <v>8</v>
      </c>
      <c r="C8" s="3" t="s">
        <v>122</v>
      </c>
      <c r="D8" s="10" t="str">
        <f t="shared" si="0"/>
        <v>Football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zoomScale="140" zoomScaleNormal="140" workbookViewId="0">
      <selection sqref="A1:E1"/>
    </sheetView>
  </sheetViews>
  <sheetFormatPr baseColWidth="10" defaultColWidth="9.140625" defaultRowHeight="15" x14ac:dyDescent="0.25"/>
  <cols>
    <col min="1" max="1" width="16.5703125" bestFit="1" customWidth="1"/>
    <col min="2" max="2" width="5.5703125" customWidth="1"/>
    <col min="3" max="3" width="15.42578125" bestFit="1" customWidth="1"/>
    <col min="4" max="4" width="18" bestFit="1" customWidth="1"/>
    <col min="5" max="5" width="24.140625" bestFit="1" customWidth="1"/>
  </cols>
  <sheetData>
    <row r="1" spans="1:5" ht="21.75" customHeight="1" x14ac:dyDescent="0.25">
      <c r="A1" s="67" t="s">
        <v>10</v>
      </c>
      <c r="B1" s="67"/>
      <c r="C1" s="67"/>
      <c r="D1" s="67"/>
      <c r="E1" s="67"/>
    </row>
    <row r="2" spans="1:5" ht="11.25" customHeight="1" x14ac:dyDescent="0.25"/>
    <row r="3" spans="1:5" ht="19.5" customHeight="1" x14ac:dyDescent="0.25">
      <c r="A3" s="4" t="s">
        <v>0</v>
      </c>
      <c r="B3" s="4" t="s">
        <v>1</v>
      </c>
      <c r="C3" s="4" t="s">
        <v>2</v>
      </c>
      <c r="D3" s="4" t="s">
        <v>192</v>
      </c>
      <c r="E3" s="4" t="s">
        <v>3</v>
      </c>
    </row>
    <row r="4" spans="1:5" x14ac:dyDescent="0.25">
      <c r="A4" s="1" t="s">
        <v>4</v>
      </c>
      <c r="B4" s="2">
        <v>13</v>
      </c>
      <c r="C4" s="2">
        <v>19</v>
      </c>
      <c r="D4" s="11" t="b">
        <f>AND(B4&gt;8,C4&gt;15)</f>
        <v>1</v>
      </c>
      <c r="E4" s="18" t="str">
        <f>IF(AND(B4&gt;8,C4&gt;15),"Participe","Ne participe pas")</f>
        <v>Participe</v>
      </c>
    </row>
    <row r="5" spans="1:5" x14ac:dyDescent="0.25">
      <c r="A5" s="1" t="s">
        <v>5</v>
      </c>
      <c r="B5" s="2">
        <v>12</v>
      </c>
      <c r="C5" s="2">
        <v>13</v>
      </c>
      <c r="D5" s="11" t="b">
        <f t="shared" ref="D5:D9" si="0">AND(B5&gt;8,C5&gt;15)</f>
        <v>0</v>
      </c>
      <c r="E5" s="18" t="str">
        <f t="shared" ref="E5:E9" si="1">IF(AND(B5&gt;8,C5&gt;15),"Participe","Ne participe pas")</f>
        <v>Ne participe pas</v>
      </c>
    </row>
    <row r="6" spans="1:5" x14ac:dyDescent="0.25">
      <c r="A6" s="1" t="s">
        <v>6</v>
      </c>
      <c r="B6" s="2">
        <v>8</v>
      </c>
      <c r="C6" s="2">
        <v>16</v>
      </c>
      <c r="D6" s="11" t="b">
        <f t="shared" si="0"/>
        <v>0</v>
      </c>
      <c r="E6" s="18" t="str">
        <f t="shared" si="1"/>
        <v>Ne participe pas</v>
      </c>
    </row>
    <row r="7" spans="1:5" x14ac:dyDescent="0.25">
      <c r="A7" s="1" t="s">
        <v>7</v>
      </c>
      <c r="B7" s="2">
        <v>5</v>
      </c>
      <c r="C7" s="2">
        <v>14</v>
      </c>
      <c r="D7" s="11" t="b">
        <f t="shared" si="0"/>
        <v>0</v>
      </c>
      <c r="E7" s="18" t="str">
        <f t="shared" si="1"/>
        <v>Ne participe pas</v>
      </c>
    </row>
    <row r="8" spans="1:5" x14ac:dyDescent="0.25">
      <c r="A8" s="1" t="s">
        <v>8</v>
      </c>
      <c r="B8" s="2">
        <v>9</v>
      </c>
      <c r="C8" s="2">
        <v>18</v>
      </c>
      <c r="D8" s="11" t="b">
        <f t="shared" si="0"/>
        <v>1</v>
      </c>
      <c r="E8" s="18" t="str">
        <f t="shared" si="1"/>
        <v>Participe</v>
      </c>
    </row>
    <row r="9" spans="1:5" x14ac:dyDescent="0.25">
      <c r="A9" s="1" t="s">
        <v>9</v>
      </c>
      <c r="B9" s="2">
        <v>7</v>
      </c>
      <c r="C9" s="2">
        <v>16</v>
      </c>
      <c r="D9" s="11" t="b">
        <f t="shared" si="0"/>
        <v>0</v>
      </c>
      <c r="E9" s="18" t="str">
        <f t="shared" si="1"/>
        <v>Ne participe pas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13713-C256-422A-AB20-944267B3ADA6}">
  <dimension ref="A1:E9"/>
  <sheetViews>
    <sheetView zoomScale="140" zoomScaleNormal="140" workbookViewId="0">
      <selection sqref="A1:E1"/>
    </sheetView>
  </sheetViews>
  <sheetFormatPr baseColWidth="10" defaultColWidth="9.140625" defaultRowHeight="15" x14ac:dyDescent="0.25"/>
  <cols>
    <col min="1" max="1" width="16.5703125" bestFit="1" customWidth="1"/>
    <col min="2" max="2" width="5.5703125" customWidth="1"/>
    <col min="3" max="3" width="15.42578125" bestFit="1" customWidth="1"/>
    <col min="4" max="4" width="18" bestFit="1" customWidth="1"/>
    <col min="5" max="5" width="24.140625" bestFit="1" customWidth="1"/>
  </cols>
  <sheetData>
    <row r="1" spans="1:5" ht="21.75" customHeight="1" x14ac:dyDescent="0.25">
      <c r="A1" s="67" t="s">
        <v>10</v>
      </c>
      <c r="B1" s="67"/>
      <c r="C1" s="67"/>
      <c r="D1" s="67"/>
      <c r="E1" s="67"/>
    </row>
    <row r="2" spans="1:5" ht="11.25" customHeight="1" x14ac:dyDescent="0.25"/>
    <row r="3" spans="1:5" ht="19.5" customHeight="1" x14ac:dyDescent="0.25">
      <c r="A3" s="4" t="s">
        <v>0</v>
      </c>
      <c r="B3" s="4" t="s">
        <v>1</v>
      </c>
      <c r="C3" s="4" t="s">
        <v>2</v>
      </c>
      <c r="D3" s="4" t="s">
        <v>192</v>
      </c>
      <c r="E3" s="4" t="s">
        <v>3</v>
      </c>
    </row>
    <row r="4" spans="1:5" x14ac:dyDescent="0.25">
      <c r="A4" s="1" t="s">
        <v>4</v>
      </c>
      <c r="B4" s="2">
        <v>13</v>
      </c>
      <c r="C4" s="2">
        <v>19</v>
      </c>
      <c r="D4" s="11" t="b">
        <f>OR(B4&gt;8,C4&gt;15)</f>
        <v>1</v>
      </c>
      <c r="E4" s="18" t="str">
        <f>IF(OR(B4&gt;8,C4&gt;15),"Participe","Ne participe pas")</f>
        <v>Participe</v>
      </c>
    </row>
    <row r="5" spans="1:5" x14ac:dyDescent="0.25">
      <c r="A5" s="1" t="s">
        <v>5</v>
      </c>
      <c r="B5" s="2">
        <v>12</v>
      </c>
      <c r="C5" s="2">
        <v>13</v>
      </c>
      <c r="D5" s="11" t="b">
        <f t="shared" ref="D5:D9" si="0">OR(B5&gt;8,C5&gt;15)</f>
        <v>1</v>
      </c>
      <c r="E5" s="18" t="str">
        <f t="shared" ref="E5:E9" si="1">IF(OR(B5&gt;8,C5&gt;15),"Participe","Ne participe pas")</f>
        <v>Participe</v>
      </c>
    </row>
    <row r="6" spans="1:5" x14ac:dyDescent="0.25">
      <c r="A6" s="1" t="s">
        <v>6</v>
      </c>
      <c r="B6" s="2">
        <v>8</v>
      </c>
      <c r="C6" s="2">
        <v>16</v>
      </c>
      <c r="D6" s="11" t="b">
        <f t="shared" si="0"/>
        <v>1</v>
      </c>
      <c r="E6" s="18" t="str">
        <f t="shared" si="1"/>
        <v>Participe</v>
      </c>
    </row>
    <row r="7" spans="1:5" x14ac:dyDescent="0.25">
      <c r="A7" s="1" t="s">
        <v>7</v>
      </c>
      <c r="B7" s="2">
        <v>5</v>
      </c>
      <c r="C7" s="2">
        <v>14</v>
      </c>
      <c r="D7" s="11" t="b">
        <f t="shared" si="0"/>
        <v>0</v>
      </c>
      <c r="E7" s="18" t="str">
        <f t="shared" si="1"/>
        <v>Ne participe pas</v>
      </c>
    </row>
    <row r="8" spans="1:5" x14ac:dyDescent="0.25">
      <c r="A8" s="1" t="s">
        <v>8</v>
      </c>
      <c r="B8" s="2">
        <v>9</v>
      </c>
      <c r="C8" s="2">
        <v>18</v>
      </c>
      <c r="D8" s="11" t="b">
        <f t="shared" si="0"/>
        <v>1</v>
      </c>
      <c r="E8" s="18" t="str">
        <f t="shared" si="1"/>
        <v>Participe</v>
      </c>
    </row>
    <row r="9" spans="1:5" x14ac:dyDescent="0.25">
      <c r="A9" s="1" t="s">
        <v>9</v>
      </c>
      <c r="B9" s="2">
        <v>7</v>
      </c>
      <c r="C9" s="2">
        <v>16</v>
      </c>
      <c r="D9" s="11" t="b">
        <f t="shared" si="0"/>
        <v>1</v>
      </c>
      <c r="E9" s="18" t="str">
        <f t="shared" si="1"/>
        <v>Participe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2819-85C2-47DE-8C69-A3D36C472FE9}">
  <dimension ref="A1:H9"/>
  <sheetViews>
    <sheetView zoomScale="140" zoomScaleNormal="140" workbookViewId="0">
      <selection sqref="A1:H1"/>
    </sheetView>
  </sheetViews>
  <sheetFormatPr baseColWidth="10" defaultRowHeight="15" x14ac:dyDescent="0.25"/>
  <cols>
    <col min="1" max="1" width="15" bestFit="1" customWidth="1"/>
    <col min="2" max="3" width="11" bestFit="1" customWidth="1"/>
    <col min="4" max="4" width="9.42578125" bestFit="1" customWidth="1"/>
    <col min="5" max="5" width="16.85546875" bestFit="1" customWidth="1"/>
    <col min="6" max="6" width="16.28515625" bestFit="1" customWidth="1"/>
    <col min="7" max="7" width="10.5703125" bestFit="1" customWidth="1"/>
    <col min="8" max="8" width="14.140625" customWidth="1"/>
  </cols>
  <sheetData>
    <row r="1" spans="1:8" ht="19.5" customHeight="1" x14ac:dyDescent="0.25">
      <c r="A1" s="68" t="s">
        <v>46</v>
      </c>
      <c r="B1" s="69"/>
      <c r="C1" s="69"/>
      <c r="D1" s="69"/>
      <c r="E1" s="69"/>
      <c r="F1" s="69"/>
      <c r="G1" s="69"/>
      <c r="H1" s="70"/>
    </row>
    <row r="2" spans="1:8" ht="19.5" customHeight="1" x14ac:dyDescent="0.25">
      <c r="A2" s="4" t="s">
        <v>47</v>
      </c>
      <c r="B2" s="15">
        <v>20</v>
      </c>
    </row>
    <row r="3" spans="1:8" ht="9" customHeight="1" x14ac:dyDescent="0.25">
      <c r="A3" s="16"/>
      <c r="B3" s="16"/>
      <c r="C3" s="64"/>
      <c r="D3" s="64"/>
      <c r="E3" s="64"/>
      <c r="F3" s="64"/>
      <c r="G3" s="64"/>
      <c r="H3" s="64"/>
    </row>
    <row r="4" spans="1:8" ht="18" customHeight="1" x14ac:dyDescent="0.25">
      <c r="A4" s="4" t="s">
        <v>45</v>
      </c>
      <c r="B4" s="4" t="s">
        <v>37</v>
      </c>
      <c r="C4" s="4" t="s">
        <v>38</v>
      </c>
      <c r="D4" s="4" t="s">
        <v>35</v>
      </c>
      <c r="E4" s="4" t="s">
        <v>48</v>
      </c>
      <c r="F4" s="4" t="s">
        <v>49</v>
      </c>
      <c r="G4" s="4" t="s">
        <v>39</v>
      </c>
      <c r="H4" s="4" t="s">
        <v>36</v>
      </c>
    </row>
    <row r="5" spans="1:8" x14ac:dyDescent="0.25">
      <c r="A5" s="1" t="s">
        <v>40</v>
      </c>
      <c r="B5" s="13">
        <v>20</v>
      </c>
      <c r="C5" s="13">
        <v>16</v>
      </c>
      <c r="D5" s="17">
        <f>AVERAGE(B5:C5)</f>
        <v>18</v>
      </c>
      <c r="E5" s="13">
        <v>18</v>
      </c>
      <c r="F5" s="13">
        <v>2</v>
      </c>
      <c r="G5" s="14">
        <f>F5/$B$2</f>
        <v>0.1</v>
      </c>
      <c r="H5" s="10" t="str">
        <f>IF(AND(D5&gt;=10,G5&lt;20%),"Validé","Non validé")</f>
        <v>Validé</v>
      </c>
    </row>
    <row r="6" spans="1:8" x14ac:dyDescent="0.25">
      <c r="A6" s="1" t="s">
        <v>41</v>
      </c>
      <c r="B6" s="13">
        <v>5.5</v>
      </c>
      <c r="C6" s="13">
        <v>14.5</v>
      </c>
      <c r="D6" s="17">
        <f t="shared" ref="D6:D9" si="0">AVERAGE(B6:C6)</f>
        <v>10</v>
      </c>
      <c r="E6" s="13">
        <v>20</v>
      </c>
      <c r="F6" s="13">
        <v>0</v>
      </c>
      <c r="G6" s="14">
        <f t="shared" ref="G6:G9" si="1">F6/$B$2</f>
        <v>0</v>
      </c>
      <c r="H6" s="10" t="str">
        <f t="shared" ref="H6:H9" si="2">IF(AND(D6&gt;=10,G6&lt;20%),"Validé","Non validé")</f>
        <v>Validé</v>
      </c>
    </row>
    <row r="7" spans="1:8" x14ac:dyDescent="0.25">
      <c r="A7" s="1" t="s">
        <v>42</v>
      </c>
      <c r="B7" s="13">
        <v>12</v>
      </c>
      <c r="C7" s="13">
        <v>17</v>
      </c>
      <c r="D7" s="17">
        <f t="shared" si="0"/>
        <v>14.5</v>
      </c>
      <c r="E7" s="13">
        <v>15</v>
      </c>
      <c r="F7" s="13">
        <v>5</v>
      </c>
      <c r="G7" s="14">
        <f t="shared" si="1"/>
        <v>0.25</v>
      </c>
      <c r="H7" s="10" t="str">
        <f t="shared" si="2"/>
        <v>Non validé</v>
      </c>
    </row>
    <row r="8" spans="1:8" x14ac:dyDescent="0.25">
      <c r="A8" s="1" t="s">
        <v>43</v>
      </c>
      <c r="B8" s="13">
        <v>8</v>
      </c>
      <c r="C8" s="13">
        <v>10.5</v>
      </c>
      <c r="D8" s="17">
        <f t="shared" si="0"/>
        <v>9.25</v>
      </c>
      <c r="E8" s="13">
        <v>17</v>
      </c>
      <c r="F8" s="13">
        <v>3</v>
      </c>
      <c r="G8" s="14">
        <f t="shared" si="1"/>
        <v>0.15</v>
      </c>
      <c r="H8" s="10" t="str">
        <f t="shared" si="2"/>
        <v>Non validé</v>
      </c>
    </row>
    <row r="9" spans="1:8" x14ac:dyDescent="0.25">
      <c r="A9" s="1" t="s">
        <v>44</v>
      </c>
      <c r="B9" s="13">
        <v>11.5</v>
      </c>
      <c r="C9" s="13">
        <v>10.5</v>
      </c>
      <c r="D9" s="17">
        <f t="shared" si="0"/>
        <v>11</v>
      </c>
      <c r="E9" s="13">
        <v>10</v>
      </c>
      <c r="F9" s="13">
        <v>10</v>
      </c>
      <c r="G9" s="14">
        <f t="shared" si="1"/>
        <v>0.5</v>
      </c>
      <c r="H9" s="10" t="str">
        <f t="shared" si="2"/>
        <v>Non validé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952C2-C399-4C3C-BD0D-2C483146A806}">
  <dimension ref="A1:D13"/>
  <sheetViews>
    <sheetView zoomScale="130" zoomScaleNormal="130" workbookViewId="0">
      <selection sqref="A1:D1"/>
    </sheetView>
  </sheetViews>
  <sheetFormatPr baseColWidth="10" defaultRowHeight="15" x14ac:dyDescent="0.25"/>
  <cols>
    <col min="1" max="1" width="20.7109375" customWidth="1"/>
    <col min="2" max="2" width="18.28515625" bestFit="1" customWidth="1"/>
    <col min="3" max="3" width="18" customWidth="1"/>
    <col min="4" max="4" width="17.28515625" customWidth="1"/>
  </cols>
  <sheetData>
    <row r="1" spans="1:4" ht="18.75" x14ac:dyDescent="0.25">
      <c r="A1" s="68" t="s">
        <v>34</v>
      </c>
      <c r="B1" s="69"/>
      <c r="C1" s="69"/>
      <c r="D1" s="70"/>
    </row>
    <row r="2" spans="1:4" ht="16.5" customHeight="1" x14ac:dyDescent="0.25">
      <c r="A2" s="4" t="s">
        <v>33</v>
      </c>
      <c r="B2" s="12">
        <v>0.05</v>
      </c>
    </row>
    <row r="3" spans="1:4" ht="9.75" customHeight="1" x14ac:dyDescent="0.25"/>
    <row r="4" spans="1:4" ht="21" customHeight="1" x14ac:dyDescent="0.25">
      <c r="A4" s="4" t="s">
        <v>20</v>
      </c>
      <c r="B4" s="4" t="s">
        <v>32</v>
      </c>
      <c r="C4" s="4" t="s">
        <v>22</v>
      </c>
      <c r="D4" s="4" t="s">
        <v>21</v>
      </c>
    </row>
    <row r="5" spans="1:4" x14ac:dyDescent="0.25">
      <c r="A5" s="1" t="s">
        <v>23</v>
      </c>
      <c r="B5" s="6">
        <v>3</v>
      </c>
      <c r="C5" s="7">
        <v>10000</v>
      </c>
      <c r="D5" s="9">
        <f>IF(OR(B5&gt;4,C5&gt;20000),C5*$B$2,0)</f>
        <v>0</v>
      </c>
    </row>
    <row r="6" spans="1:4" x14ac:dyDescent="0.25">
      <c r="A6" s="1" t="s">
        <v>24</v>
      </c>
      <c r="B6" s="6">
        <v>6</v>
      </c>
      <c r="C6" s="7">
        <v>1800</v>
      </c>
      <c r="D6" s="9">
        <f t="shared" ref="D6:D13" si="0">IF(OR(B6&gt;4,C6&gt;20000),C6*$B$2,0)</f>
        <v>90</v>
      </c>
    </row>
    <row r="7" spans="1:4" x14ac:dyDescent="0.25">
      <c r="A7" s="1" t="s">
        <v>25</v>
      </c>
      <c r="B7" s="6">
        <v>3</v>
      </c>
      <c r="C7" s="7">
        <v>140000</v>
      </c>
      <c r="D7" s="9">
        <f t="shared" si="0"/>
        <v>7000</v>
      </c>
    </row>
    <row r="8" spans="1:4" x14ac:dyDescent="0.25">
      <c r="A8" s="1" t="s">
        <v>26</v>
      </c>
      <c r="B8" s="6">
        <v>2</v>
      </c>
      <c r="C8" s="7">
        <v>8000</v>
      </c>
      <c r="D8" s="9">
        <f t="shared" si="0"/>
        <v>0</v>
      </c>
    </row>
    <row r="9" spans="1:4" x14ac:dyDescent="0.25">
      <c r="A9" s="1" t="s">
        <v>27</v>
      </c>
      <c r="B9" s="6">
        <v>10</v>
      </c>
      <c r="C9" s="7">
        <v>22000</v>
      </c>
      <c r="D9" s="9">
        <f t="shared" si="0"/>
        <v>1100</v>
      </c>
    </row>
    <row r="10" spans="1:4" x14ac:dyDescent="0.25">
      <c r="A10" s="1" t="s">
        <v>28</v>
      </c>
      <c r="B10" s="6">
        <v>1</v>
      </c>
      <c r="C10" s="7">
        <v>15000</v>
      </c>
      <c r="D10" s="9">
        <f t="shared" si="0"/>
        <v>0</v>
      </c>
    </row>
    <row r="11" spans="1:4" x14ac:dyDescent="0.25">
      <c r="A11" s="1" t="s">
        <v>29</v>
      </c>
      <c r="B11" s="6">
        <v>9</v>
      </c>
      <c r="C11" s="7">
        <v>8000</v>
      </c>
      <c r="D11" s="9">
        <f t="shared" si="0"/>
        <v>400</v>
      </c>
    </row>
    <row r="12" spans="1:4" x14ac:dyDescent="0.25">
      <c r="A12" s="1" t="s">
        <v>30</v>
      </c>
      <c r="B12" s="6">
        <v>1</v>
      </c>
      <c r="C12" s="7">
        <v>40000</v>
      </c>
      <c r="D12" s="9">
        <f t="shared" si="0"/>
        <v>2000</v>
      </c>
    </row>
    <row r="13" spans="1:4" x14ac:dyDescent="0.25">
      <c r="A13" s="1" t="s">
        <v>31</v>
      </c>
      <c r="B13" s="6">
        <v>2</v>
      </c>
      <c r="C13" s="7">
        <v>9000</v>
      </c>
      <c r="D13" s="9">
        <f t="shared" si="0"/>
        <v>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A763-20E9-4038-9FC6-AB423C1C7AAE}">
  <dimension ref="A1:E8"/>
  <sheetViews>
    <sheetView zoomScale="150" zoomScaleNormal="150" workbookViewId="0">
      <selection sqref="A1:E1"/>
    </sheetView>
  </sheetViews>
  <sheetFormatPr baseColWidth="10" defaultRowHeight="15" x14ac:dyDescent="0.25"/>
  <cols>
    <col min="1" max="1" width="15" customWidth="1"/>
    <col min="2" max="2" width="13" customWidth="1"/>
    <col min="3" max="3" width="19.140625" customWidth="1"/>
    <col min="4" max="4" width="17.28515625" customWidth="1"/>
    <col min="5" max="5" width="15" customWidth="1"/>
  </cols>
  <sheetData>
    <row r="1" spans="1:5" ht="18.75" x14ac:dyDescent="0.25">
      <c r="A1" s="71" t="s">
        <v>58</v>
      </c>
      <c r="B1" s="72"/>
      <c r="C1" s="72"/>
      <c r="D1" s="72"/>
      <c r="E1" s="72"/>
    </row>
    <row r="2" spans="1:5" ht="10.5" customHeight="1" x14ac:dyDescent="0.25"/>
    <row r="3" spans="1:5" ht="15.75" customHeight="1" x14ac:dyDescent="0.25">
      <c r="A3" s="45" t="s">
        <v>50</v>
      </c>
      <c r="B3" s="45" t="s">
        <v>57</v>
      </c>
      <c r="C3" s="45" t="s">
        <v>51</v>
      </c>
      <c r="D3" s="45" t="s">
        <v>52</v>
      </c>
      <c r="E3" s="46" t="s">
        <v>36</v>
      </c>
    </row>
    <row r="4" spans="1:5" x14ac:dyDescent="0.25">
      <c r="A4" s="50" t="s">
        <v>53</v>
      </c>
      <c r="B4" s="51">
        <v>1.2</v>
      </c>
      <c r="C4" s="52">
        <v>45536</v>
      </c>
      <c r="D4" s="52">
        <v>45656</v>
      </c>
      <c r="E4" s="1" t="str">
        <f ca="1">IF(D4&lt;TODAY(),"Expiré","Non expiré")</f>
        <v>Non expiré</v>
      </c>
    </row>
    <row r="5" spans="1:5" x14ac:dyDescent="0.25">
      <c r="A5" s="50" t="s">
        <v>55</v>
      </c>
      <c r="B5" s="51">
        <v>1.5</v>
      </c>
      <c r="C5" s="52">
        <v>45493</v>
      </c>
      <c r="D5" s="52">
        <v>45682</v>
      </c>
      <c r="E5" s="1" t="str">
        <f ca="1">IF(D5&lt;TODAY(),"Expiré","Non expiré")</f>
        <v>Non expiré</v>
      </c>
    </row>
    <row r="6" spans="1:5" x14ac:dyDescent="0.25">
      <c r="A6" s="47" t="s">
        <v>59</v>
      </c>
      <c r="B6" s="48">
        <v>1.1000000000000001</v>
      </c>
      <c r="C6" s="49">
        <v>45560</v>
      </c>
      <c r="D6" s="49">
        <v>45595</v>
      </c>
      <c r="E6" s="1" t="str">
        <f ca="1">IF(D6&lt;TODAY(),"Expiré","Non expiré")</f>
        <v>Expiré</v>
      </c>
    </row>
    <row r="7" spans="1:5" x14ac:dyDescent="0.25">
      <c r="A7" s="47" t="s">
        <v>54</v>
      </c>
      <c r="B7" s="48">
        <v>0.8</v>
      </c>
      <c r="C7" s="49">
        <v>45519</v>
      </c>
      <c r="D7" s="49">
        <v>45576</v>
      </c>
      <c r="E7" s="1" t="str">
        <f ca="1">IF(D7&lt;TODAY(),"Expiré","Non expiré")</f>
        <v>Expiré</v>
      </c>
    </row>
    <row r="8" spans="1:5" x14ac:dyDescent="0.25">
      <c r="A8" s="53" t="s">
        <v>56</v>
      </c>
      <c r="B8" s="54">
        <v>2</v>
      </c>
      <c r="C8" s="55">
        <v>45483</v>
      </c>
      <c r="D8" s="55">
        <v>45574</v>
      </c>
      <c r="E8" s="1" t="str">
        <f ca="1">IF(D8&lt;TODAY(),"Expiré","Non expiré")</f>
        <v>Expiré</v>
      </c>
    </row>
  </sheetData>
  <sortState xmlns:xlrd2="http://schemas.microsoft.com/office/spreadsheetml/2017/richdata2" ref="A4:E8">
    <sortCondition sortBy="cellColor" ref="E4:E8" dxfId="12"/>
  </sortState>
  <mergeCells count="1">
    <mergeCell ref="A1:E1"/>
  </mergeCells>
  <conditionalFormatting sqref="E4:E8">
    <cfRule type="cellIs" dxfId="13" priority="2" operator="equal">
      <formula>"Expiré"</formula>
    </cfRule>
    <cfRule type="cellIs" dxfId="14" priority="1" operator="equal">
      <formula>"Non expiré"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BCF48-07E1-4964-948A-A4B779DF317F}">
  <dimension ref="A1:C54"/>
  <sheetViews>
    <sheetView zoomScale="130" zoomScaleNormal="130" workbookViewId="0">
      <selection sqref="A1:C1"/>
    </sheetView>
  </sheetViews>
  <sheetFormatPr baseColWidth="10" defaultRowHeight="15" x14ac:dyDescent="0.25"/>
  <cols>
    <col min="1" max="1" width="22" customWidth="1"/>
    <col min="2" max="2" width="15.85546875" customWidth="1"/>
    <col min="3" max="3" width="19.5703125" customWidth="1"/>
  </cols>
  <sheetData>
    <row r="1" spans="1:3" ht="21.75" customHeight="1" x14ac:dyDescent="0.25">
      <c r="A1" s="73" t="s">
        <v>130</v>
      </c>
      <c r="B1" s="73"/>
      <c r="C1" s="73"/>
    </row>
    <row r="2" spans="1:3" ht="10.5" customHeight="1" x14ac:dyDescent="0.25"/>
    <row r="3" spans="1:3" x14ac:dyDescent="0.25">
      <c r="A3" t="s">
        <v>60</v>
      </c>
      <c r="B3" t="s">
        <v>61</v>
      </c>
      <c r="C3" t="s">
        <v>62</v>
      </c>
    </row>
    <row r="4" spans="1:3" x14ac:dyDescent="0.25">
      <c r="A4" t="s">
        <v>63</v>
      </c>
      <c r="B4" s="21" t="s">
        <v>64</v>
      </c>
      <c r="C4" s="22">
        <v>12.5</v>
      </c>
    </row>
    <row r="5" spans="1:3" x14ac:dyDescent="0.25">
      <c r="A5" t="s">
        <v>84</v>
      </c>
      <c r="B5" s="21" t="s">
        <v>64</v>
      </c>
      <c r="C5" s="22">
        <v>13.3</v>
      </c>
    </row>
    <row r="6" spans="1:3" x14ac:dyDescent="0.25">
      <c r="A6" t="s">
        <v>95</v>
      </c>
      <c r="B6" s="21" t="s">
        <v>68</v>
      </c>
      <c r="C6" s="22">
        <v>18</v>
      </c>
    </row>
    <row r="7" spans="1:3" x14ac:dyDescent="0.25">
      <c r="A7" t="s">
        <v>100</v>
      </c>
      <c r="B7" s="21" t="s">
        <v>66</v>
      </c>
      <c r="C7" s="22">
        <v>14.3</v>
      </c>
    </row>
    <row r="8" spans="1:3" x14ac:dyDescent="0.25">
      <c r="A8" t="s">
        <v>87</v>
      </c>
      <c r="B8" s="21" t="s">
        <v>64</v>
      </c>
      <c r="C8" s="22">
        <v>16.399999999999999</v>
      </c>
    </row>
    <row r="9" spans="1:3" x14ac:dyDescent="0.25">
      <c r="A9" t="s">
        <v>74</v>
      </c>
      <c r="B9" s="21" t="s">
        <v>68</v>
      </c>
      <c r="C9" s="22">
        <v>17.2</v>
      </c>
    </row>
    <row r="10" spans="1:3" x14ac:dyDescent="0.25">
      <c r="A10" t="s">
        <v>81</v>
      </c>
      <c r="B10" s="21" t="s">
        <v>64</v>
      </c>
      <c r="C10" s="22">
        <v>12.7</v>
      </c>
    </row>
    <row r="11" spans="1:3" x14ac:dyDescent="0.25">
      <c r="A11" t="s">
        <v>105</v>
      </c>
      <c r="B11" s="21" t="s">
        <v>64</v>
      </c>
      <c r="C11" s="22">
        <v>16.899999999999999</v>
      </c>
    </row>
    <row r="12" spans="1:3" x14ac:dyDescent="0.25">
      <c r="A12" t="s">
        <v>110</v>
      </c>
      <c r="B12" s="21" t="s">
        <v>68</v>
      </c>
      <c r="C12" s="22">
        <v>15.4</v>
      </c>
    </row>
    <row r="13" spans="1:3" x14ac:dyDescent="0.25">
      <c r="A13" t="s">
        <v>91</v>
      </c>
      <c r="B13" s="21" t="s">
        <v>66</v>
      </c>
      <c r="C13" s="22">
        <v>14.5</v>
      </c>
    </row>
    <row r="14" spans="1:3" x14ac:dyDescent="0.25">
      <c r="A14" t="s">
        <v>73</v>
      </c>
      <c r="B14" s="21" t="s">
        <v>66</v>
      </c>
      <c r="C14" s="22">
        <v>13.7</v>
      </c>
    </row>
    <row r="15" spans="1:3" x14ac:dyDescent="0.25">
      <c r="A15" t="s">
        <v>77</v>
      </c>
      <c r="B15" s="21" t="s">
        <v>68</v>
      </c>
      <c r="C15" s="22">
        <v>12.3</v>
      </c>
    </row>
    <row r="16" spans="1:3" x14ac:dyDescent="0.25">
      <c r="A16" t="s">
        <v>67</v>
      </c>
      <c r="B16" s="21" t="s">
        <v>68</v>
      </c>
      <c r="C16" s="22">
        <v>13.8</v>
      </c>
    </row>
    <row r="17" spans="1:3" x14ac:dyDescent="0.25">
      <c r="A17" t="s">
        <v>115</v>
      </c>
      <c r="B17" s="21" t="s">
        <v>66</v>
      </c>
      <c r="C17" s="22">
        <v>16.2</v>
      </c>
    </row>
    <row r="18" spans="1:3" x14ac:dyDescent="0.25">
      <c r="A18" t="s">
        <v>102</v>
      </c>
      <c r="B18" s="21" t="s">
        <v>64</v>
      </c>
      <c r="C18" s="22">
        <v>15.8</v>
      </c>
    </row>
    <row r="19" spans="1:3" x14ac:dyDescent="0.25">
      <c r="A19" t="s">
        <v>83</v>
      </c>
      <c r="B19" s="21" t="s">
        <v>68</v>
      </c>
      <c r="C19" s="22">
        <v>14.9</v>
      </c>
    </row>
    <row r="20" spans="1:3" x14ac:dyDescent="0.25">
      <c r="A20" t="s">
        <v>98</v>
      </c>
      <c r="B20" s="21" t="s">
        <v>68</v>
      </c>
      <c r="C20" s="22">
        <v>17</v>
      </c>
    </row>
    <row r="21" spans="1:3" x14ac:dyDescent="0.25">
      <c r="A21" t="s">
        <v>107</v>
      </c>
      <c r="B21" s="21" t="s">
        <v>68</v>
      </c>
      <c r="C21" s="22">
        <v>12.9</v>
      </c>
    </row>
    <row r="22" spans="1:3" x14ac:dyDescent="0.25">
      <c r="A22" t="s">
        <v>97</v>
      </c>
      <c r="B22" s="21" t="s">
        <v>66</v>
      </c>
      <c r="C22" s="22">
        <v>13.5</v>
      </c>
    </row>
    <row r="23" spans="1:3" x14ac:dyDescent="0.25">
      <c r="A23" t="s">
        <v>70</v>
      </c>
      <c r="B23" s="21" t="s">
        <v>66</v>
      </c>
      <c r="C23" s="22">
        <v>16.5</v>
      </c>
    </row>
    <row r="24" spans="1:3" x14ac:dyDescent="0.25">
      <c r="A24" t="s">
        <v>92</v>
      </c>
      <c r="B24" s="21" t="s">
        <v>68</v>
      </c>
      <c r="C24" s="22">
        <v>13.9</v>
      </c>
    </row>
    <row r="25" spans="1:3" x14ac:dyDescent="0.25">
      <c r="A25" t="s">
        <v>111</v>
      </c>
      <c r="B25" s="21" t="s">
        <v>64</v>
      </c>
      <c r="C25" s="22">
        <v>17.5</v>
      </c>
    </row>
    <row r="26" spans="1:3" x14ac:dyDescent="0.25">
      <c r="A26" t="s">
        <v>65</v>
      </c>
      <c r="B26" s="21" t="s">
        <v>66</v>
      </c>
      <c r="C26" s="22">
        <v>15.3</v>
      </c>
    </row>
    <row r="27" spans="1:3" x14ac:dyDescent="0.25">
      <c r="A27" t="s">
        <v>114</v>
      </c>
      <c r="B27" s="21" t="s">
        <v>64</v>
      </c>
      <c r="C27" s="22">
        <v>13</v>
      </c>
    </row>
    <row r="28" spans="1:3" x14ac:dyDescent="0.25">
      <c r="A28" t="s">
        <v>116</v>
      </c>
      <c r="B28" s="21" t="s">
        <v>68</v>
      </c>
      <c r="C28" s="22">
        <v>14.8</v>
      </c>
    </row>
    <row r="29" spans="1:3" x14ac:dyDescent="0.25">
      <c r="A29" t="s">
        <v>85</v>
      </c>
      <c r="B29" s="21" t="s">
        <v>66</v>
      </c>
      <c r="C29" s="22">
        <v>15.7</v>
      </c>
    </row>
    <row r="30" spans="1:3" x14ac:dyDescent="0.25">
      <c r="A30" t="s">
        <v>93</v>
      </c>
      <c r="B30" s="21" t="s">
        <v>64</v>
      </c>
      <c r="C30" s="22">
        <v>15.2</v>
      </c>
    </row>
    <row r="31" spans="1:3" x14ac:dyDescent="0.25">
      <c r="A31" t="s">
        <v>69</v>
      </c>
      <c r="B31" s="21" t="s">
        <v>64</v>
      </c>
      <c r="C31" s="22">
        <v>14.2</v>
      </c>
    </row>
    <row r="32" spans="1:3" x14ac:dyDescent="0.25">
      <c r="A32" t="s">
        <v>104</v>
      </c>
      <c r="B32" s="21" t="s">
        <v>68</v>
      </c>
      <c r="C32" s="22">
        <v>13.6</v>
      </c>
    </row>
    <row r="33" spans="1:3" x14ac:dyDescent="0.25">
      <c r="A33" t="s">
        <v>76</v>
      </c>
      <c r="B33" s="21" t="s">
        <v>66</v>
      </c>
      <c r="C33" s="22">
        <v>14</v>
      </c>
    </row>
    <row r="34" spans="1:3" x14ac:dyDescent="0.25">
      <c r="A34" t="s">
        <v>108</v>
      </c>
      <c r="B34" s="21" t="s">
        <v>64</v>
      </c>
      <c r="C34" s="22">
        <v>13.1</v>
      </c>
    </row>
    <row r="35" spans="1:3" x14ac:dyDescent="0.25">
      <c r="A35" t="s">
        <v>80</v>
      </c>
      <c r="B35" s="21" t="s">
        <v>68</v>
      </c>
      <c r="C35" s="22">
        <v>18.600000000000001</v>
      </c>
    </row>
    <row r="36" spans="1:3" x14ac:dyDescent="0.25">
      <c r="A36" t="s">
        <v>82</v>
      </c>
      <c r="B36" s="21" t="s">
        <v>66</v>
      </c>
      <c r="C36" s="22">
        <v>11.5</v>
      </c>
    </row>
    <row r="37" spans="1:3" x14ac:dyDescent="0.25">
      <c r="A37" t="s">
        <v>72</v>
      </c>
      <c r="B37" s="21" t="s">
        <v>64</v>
      </c>
      <c r="C37" s="22">
        <v>10.5</v>
      </c>
    </row>
    <row r="38" spans="1:3" x14ac:dyDescent="0.25">
      <c r="A38" t="s">
        <v>90</v>
      </c>
      <c r="B38" s="21" t="s">
        <v>64</v>
      </c>
      <c r="C38" s="22">
        <v>11.6</v>
      </c>
    </row>
    <row r="39" spans="1:3" x14ac:dyDescent="0.25">
      <c r="A39" t="s">
        <v>89</v>
      </c>
      <c r="B39" s="21" t="s">
        <v>68</v>
      </c>
      <c r="C39" s="22">
        <v>12</v>
      </c>
    </row>
    <row r="40" spans="1:3" x14ac:dyDescent="0.25">
      <c r="A40" t="s">
        <v>103</v>
      </c>
      <c r="B40" s="21" t="s">
        <v>66</v>
      </c>
      <c r="C40" s="22">
        <v>11.4</v>
      </c>
    </row>
    <row r="41" spans="1:3" x14ac:dyDescent="0.25">
      <c r="A41" t="s">
        <v>112</v>
      </c>
      <c r="B41" s="21" t="s">
        <v>66</v>
      </c>
      <c r="C41" s="22">
        <v>10.4</v>
      </c>
    </row>
    <row r="42" spans="1:3" x14ac:dyDescent="0.25">
      <c r="A42" t="s">
        <v>71</v>
      </c>
      <c r="B42" s="21" t="s">
        <v>68</v>
      </c>
      <c r="C42" s="22">
        <v>11</v>
      </c>
    </row>
    <row r="43" spans="1:3" x14ac:dyDescent="0.25">
      <c r="A43" t="s">
        <v>86</v>
      </c>
      <c r="B43" s="21" t="s">
        <v>68</v>
      </c>
      <c r="C43" s="22">
        <v>9.4</v>
      </c>
    </row>
    <row r="44" spans="1:3" x14ac:dyDescent="0.25">
      <c r="A44" t="s">
        <v>106</v>
      </c>
      <c r="B44" s="21" t="s">
        <v>66</v>
      </c>
      <c r="C44" s="22">
        <v>4.0999999999999996</v>
      </c>
    </row>
    <row r="45" spans="1:3" x14ac:dyDescent="0.25">
      <c r="A45" t="s">
        <v>113</v>
      </c>
      <c r="B45" s="21" t="s">
        <v>68</v>
      </c>
      <c r="C45" s="22">
        <v>4.7</v>
      </c>
    </row>
    <row r="46" spans="1:3" x14ac:dyDescent="0.25">
      <c r="A46" t="s">
        <v>75</v>
      </c>
      <c r="B46" s="21" t="s">
        <v>64</v>
      </c>
      <c r="C46" s="22">
        <v>5.0999999999999996</v>
      </c>
    </row>
    <row r="47" spans="1:3" x14ac:dyDescent="0.25">
      <c r="A47" t="s">
        <v>88</v>
      </c>
      <c r="B47" s="21" t="s">
        <v>66</v>
      </c>
      <c r="C47" s="22">
        <v>4.8</v>
      </c>
    </row>
    <row r="48" spans="1:3" x14ac:dyDescent="0.25">
      <c r="A48" t="s">
        <v>99</v>
      </c>
      <c r="B48" s="21" t="s">
        <v>64</v>
      </c>
      <c r="C48" s="22">
        <v>6.4</v>
      </c>
    </row>
    <row r="49" spans="1:3" x14ac:dyDescent="0.25">
      <c r="A49" t="s">
        <v>109</v>
      </c>
      <c r="B49" s="21" t="s">
        <v>66</v>
      </c>
      <c r="C49" s="22">
        <v>9.9</v>
      </c>
    </row>
    <row r="50" spans="1:3" x14ac:dyDescent="0.25">
      <c r="A50" t="s">
        <v>96</v>
      </c>
      <c r="B50" s="21" t="s">
        <v>64</v>
      </c>
      <c r="C50" s="22">
        <v>9.6999999999999993</v>
      </c>
    </row>
    <row r="51" spans="1:3" x14ac:dyDescent="0.25">
      <c r="A51" t="s">
        <v>78</v>
      </c>
      <c r="B51" s="21" t="s">
        <v>64</v>
      </c>
      <c r="C51" s="22">
        <v>8.4</v>
      </c>
    </row>
    <row r="52" spans="1:3" x14ac:dyDescent="0.25">
      <c r="A52" t="s">
        <v>94</v>
      </c>
      <c r="B52" s="21" t="s">
        <v>66</v>
      </c>
      <c r="C52" s="22">
        <v>5.2</v>
      </c>
    </row>
    <row r="53" spans="1:3" x14ac:dyDescent="0.25">
      <c r="A53" t="s">
        <v>79</v>
      </c>
      <c r="B53" s="21" t="s">
        <v>66</v>
      </c>
      <c r="C53" s="22">
        <v>9.8000000000000007</v>
      </c>
    </row>
    <row r="54" spans="1:3" x14ac:dyDescent="0.25">
      <c r="A54" t="s">
        <v>101</v>
      </c>
      <c r="B54" s="21" t="s">
        <v>68</v>
      </c>
      <c r="C54" s="22">
        <v>8.1</v>
      </c>
    </row>
  </sheetData>
  <mergeCells count="1">
    <mergeCell ref="A1:C1"/>
  </mergeCells>
  <conditionalFormatting sqref="C4:C54">
    <cfRule type="cellIs" dxfId="5" priority="3" operator="greaterThan">
      <formula>12</formula>
    </cfRule>
    <cfRule type="cellIs" dxfId="6" priority="2" operator="lessThan">
      <formula>10</formula>
    </cfRule>
    <cfRule type="cellIs" dxfId="7" priority="1" operator="between">
      <formula>10</formula>
      <formula>12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9EB8-FB0F-4031-910D-479042CB4D38}">
  <dimension ref="A1:F11"/>
  <sheetViews>
    <sheetView zoomScale="146" workbookViewId="0">
      <selection sqref="A1:D1"/>
    </sheetView>
  </sheetViews>
  <sheetFormatPr baseColWidth="10" defaultRowHeight="15" x14ac:dyDescent="0.25"/>
  <cols>
    <col min="1" max="1" width="10.42578125" bestFit="1" customWidth="1"/>
    <col min="2" max="2" width="21.7109375" customWidth="1"/>
    <col min="3" max="3" width="10.140625" customWidth="1"/>
    <col min="4" max="4" width="8.42578125" customWidth="1"/>
    <col min="5" max="5" width="5.7109375" customWidth="1"/>
    <col min="6" max="6" width="26.85546875" bestFit="1" customWidth="1"/>
  </cols>
  <sheetData>
    <row r="1" spans="1:6" ht="18.75" x14ac:dyDescent="0.25">
      <c r="A1" s="67" t="s">
        <v>131</v>
      </c>
      <c r="B1" s="67"/>
      <c r="C1" s="67"/>
      <c r="D1" s="67"/>
    </row>
    <row r="2" spans="1:6" ht="10.5" customHeight="1" x14ac:dyDescent="0.25"/>
    <row r="3" spans="1:6" ht="18.75" customHeight="1" x14ac:dyDescent="0.25">
      <c r="A3" s="4" t="s">
        <v>117</v>
      </c>
      <c r="B3" s="4" t="s">
        <v>118</v>
      </c>
      <c r="C3" s="4" t="s">
        <v>119</v>
      </c>
      <c r="D3" s="4" t="s">
        <v>120</v>
      </c>
    </row>
    <row r="4" spans="1:6" x14ac:dyDescent="0.25">
      <c r="A4" s="2">
        <v>1</v>
      </c>
      <c r="B4" s="2" t="s">
        <v>121</v>
      </c>
      <c r="C4" s="2" t="s">
        <v>122</v>
      </c>
      <c r="D4" s="2">
        <v>23</v>
      </c>
      <c r="F4" s="23" t="s">
        <v>246</v>
      </c>
    </row>
    <row r="5" spans="1:6" x14ac:dyDescent="0.25">
      <c r="A5" s="2">
        <v>2</v>
      </c>
      <c r="B5" s="2" t="s">
        <v>65</v>
      </c>
      <c r="C5" s="2" t="s">
        <v>123</v>
      </c>
      <c r="D5" s="2">
        <v>34</v>
      </c>
      <c r="F5" s="24">
        <f>COUNTIF(C4:C11,"F")</f>
        <v>3</v>
      </c>
    </row>
    <row r="6" spans="1:6" x14ac:dyDescent="0.25">
      <c r="A6" s="2">
        <v>3</v>
      </c>
      <c r="B6" s="2" t="s">
        <v>124</v>
      </c>
      <c r="C6" s="2" t="s">
        <v>122</v>
      </c>
      <c r="D6" s="2">
        <v>28</v>
      </c>
    </row>
    <row r="7" spans="1:6" x14ac:dyDescent="0.25">
      <c r="A7" s="2">
        <v>4</v>
      </c>
      <c r="B7" s="2" t="s">
        <v>129</v>
      </c>
      <c r="C7" s="2" t="s">
        <v>122</v>
      </c>
      <c r="D7" s="2">
        <v>42</v>
      </c>
      <c r="F7" s="23" t="s">
        <v>247</v>
      </c>
    </row>
    <row r="8" spans="1:6" x14ac:dyDescent="0.25">
      <c r="A8" s="2">
        <v>5</v>
      </c>
      <c r="B8" s="2" t="s">
        <v>125</v>
      </c>
      <c r="C8" s="2" t="s">
        <v>122</v>
      </c>
      <c r="D8" s="2">
        <v>50</v>
      </c>
      <c r="F8" s="24">
        <f>COUNTIF(D4:D11,"&gt;30")</f>
        <v>4</v>
      </c>
    </row>
    <row r="9" spans="1:6" x14ac:dyDescent="0.25">
      <c r="A9" s="2">
        <v>6</v>
      </c>
      <c r="B9" s="2" t="s">
        <v>126</v>
      </c>
      <c r="C9" s="2" t="s">
        <v>123</v>
      </c>
      <c r="D9" s="2">
        <v>37</v>
      </c>
    </row>
    <row r="10" spans="1:6" x14ac:dyDescent="0.25">
      <c r="A10" s="2">
        <v>7</v>
      </c>
      <c r="B10" s="2" t="s">
        <v>127</v>
      </c>
      <c r="C10" s="2" t="s">
        <v>122</v>
      </c>
      <c r="D10" s="2">
        <v>29</v>
      </c>
    </row>
    <row r="11" spans="1:6" x14ac:dyDescent="0.25">
      <c r="A11" s="2">
        <v>8</v>
      </c>
      <c r="B11" s="2" t="s">
        <v>128</v>
      </c>
      <c r="C11" s="2" t="s">
        <v>123</v>
      </c>
      <c r="D11" s="2">
        <v>21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EBB2-DEE8-47CA-8AA4-0BBB7796D898}">
  <dimension ref="A1:F13"/>
  <sheetViews>
    <sheetView zoomScale="144" workbookViewId="0">
      <selection sqref="A1:C1"/>
    </sheetView>
  </sheetViews>
  <sheetFormatPr baseColWidth="10" defaultRowHeight="15" x14ac:dyDescent="0.25"/>
  <cols>
    <col min="1" max="1" width="10.28515625" customWidth="1"/>
    <col min="2" max="2" width="10.85546875" customWidth="1"/>
    <col min="3" max="3" width="20" customWidth="1"/>
    <col min="4" max="4" width="5.28515625" customWidth="1"/>
    <col min="5" max="5" width="11.42578125" customWidth="1"/>
    <col min="6" max="6" width="15.85546875" bestFit="1" customWidth="1"/>
  </cols>
  <sheetData>
    <row r="1" spans="1:6" ht="18.75" x14ac:dyDescent="0.25">
      <c r="A1" s="67" t="s">
        <v>148</v>
      </c>
      <c r="B1" s="67"/>
      <c r="C1" s="67"/>
    </row>
    <row r="2" spans="1:6" ht="9" customHeight="1" x14ac:dyDescent="0.25"/>
    <row r="3" spans="1:6" x14ac:dyDescent="0.25">
      <c r="A3" s="4" t="s">
        <v>140</v>
      </c>
      <c r="B3" s="4" t="s">
        <v>146</v>
      </c>
      <c r="C3" s="4" t="s">
        <v>248</v>
      </c>
    </row>
    <row r="4" spans="1:6" x14ac:dyDescent="0.25">
      <c r="A4" s="1" t="s">
        <v>144</v>
      </c>
      <c r="B4" s="1" t="s">
        <v>142</v>
      </c>
      <c r="C4" s="7">
        <v>100320</v>
      </c>
      <c r="E4" s="4" t="s">
        <v>140</v>
      </c>
      <c r="F4" s="4" t="s">
        <v>22</v>
      </c>
    </row>
    <row r="5" spans="1:6" x14ac:dyDescent="0.25">
      <c r="A5" s="1" t="s">
        <v>141</v>
      </c>
      <c r="B5" s="1" t="s">
        <v>145</v>
      </c>
      <c r="C5" s="7">
        <v>29400</v>
      </c>
      <c r="E5" s="1" t="s">
        <v>141</v>
      </c>
      <c r="F5" s="9">
        <f>SUMIF($A$4:$A$12,E5,$C$4:$C$12)</f>
        <v>43270</v>
      </c>
    </row>
    <row r="6" spans="1:6" x14ac:dyDescent="0.25">
      <c r="A6" s="1" t="s">
        <v>147</v>
      </c>
      <c r="B6" s="1" t="s">
        <v>142</v>
      </c>
      <c r="C6" s="7">
        <v>12090</v>
      </c>
      <c r="E6" s="1" t="s">
        <v>147</v>
      </c>
      <c r="F6" s="9">
        <f t="shared" ref="F6:F7" si="0">SUMIF($A$4:$A$12,E6,$C$4:$C$12)</f>
        <v>50450</v>
      </c>
    </row>
    <row r="7" spans="1:6" x14ac:dyDescent="0.25">
      <c r="A7" s="1" t="s">
        <v>147</v>
      </c>
      <c r="B7" s="1" t="s">
        <v>143</v>
      </c>
      <c r="C7" s="7">
        <v>24640</v>
      </c>
      <c r="E7" s="1" t="s">
        <v>144</v>
      </c>
      <c r="F7" s="9">
        <f t="shared" si="0"/>
        <v>162080</v>
      </c>
    </row>
    <row r="8" spans="1:6" x14ac:dyDescent="0.25">
      <c r="A8" s="1" t="s">
        <v>144</v>
      </c>
      <c r="B8" s="1" t="s">
        <v>142</v>
      </c>
      <c r="C8" s="7">
        <v>20260</v>
      </c>
    </row>
    <row r="9" spans="1:6" x14ac:dyDescent="0.25">
      <c r="A9" s="1" t="s">
        <v>144</v>
      </c>
      <c r="B9" s="1" t="s">
        <v>143</v>
      </c>
      <c r="C9" s="7">
        <v>23490</v>
      </c>
    </row>
    <row r="10" spans="1:6" x14ac:dyDescent="0.25">
      <c r="A10" s="1" t="s">
        <v>141</v>
      </c>
      <c r="B10" s="1" t="s">
        <v>145</v>
      </c>
      <c r="C10" s="7">
        <v>13870</v>
      </c>
      <c r="E10" s="4" t="s">
        <v>146</v>
      </c>
      <c r="F10" s="4" t="s">
        <v>22</v>
      </c>
    </row>
    <row r="11" spans="1:6" x14ac:dyDescent="0.25">
      <c r="A11" s="1" t="s">
        <v>147</v>
      </c>
      <c r="B11" s="1" t="s">
        <v>145</v>
      </c>
      <c r="C11" s="7">
        <v>13720</v>
      </c>
      <c r="E11" s="1" t="s">
        <v>142</v>
      </c>
      <c r="F11" s="9">
        <f>SUMIF($B$4:$B$12,E11,$C$4:$C$12)</f>
        <v>132670</v>
      </c>
    </row>
    <row r="12" spans="1:6" x14ac:dyDescent="0.25">
      <c r="A12" s="1" t="s">
        <v>144</v>
      </c>
      <c r="B12" s="1" t="s">
        <v>145</v>
      </c>
      <c r="C12" s="7">
        <v>18010</v>
      </c>
      <c r="E12" s="1" t="s">
        <v>143</v>
      </c>
      <c r="F12" s="9">
        <f t="shared" ref="F12:F13" si="1">SUMIF($B$4:$B$12,E12,$C$4:$C$12)</f>
        <v>48130</v>
      </c>
    </row>
    <row r="13" spans="1:6" x14ac:dyDescent="0.25">
      <c r="E13" s="1" t="s">
        <v>145</v>
      </c>
      <c r="F13" s="9">
        <f t="shared" si="1"/>
        <v>75000</v>
      </c>
    </row>
  </sheetData>
  <mergeCells count="1">
    <mergeCell ref="A1:C1"/>
  </mergeCells>
  <phoneticPr fontId="6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7C9B-85B8-4B40-AC85-5B424C1CA1E1}">
  <dimension ref="A1:F13"/>
  <sheetViews>
    <sheetView zoomScale="144" workbookViewId="0">
      <selection sqref="A1:C1"/>
    </sheetView>
  </sheetViews>
  <sheetFormatPr baseColWidth="10" defaultRowHeight="15" x14ac:dyDescent="0.25"/>
  <cols>
    <col min="1" max="1" width="10.28515625" customWidth="1"/>
    <col min="2" max="2" width="10.85546875" customWidth="1"/>
    <col min="3" max="3" width="20" customWidth="1"/>
    <col min="4" max="4" width="5.28515625" customWidth="1"/>
    <col min="6" max="6" width="15.85546875" bestFit="1" customWidth="1"/>
  </cols>
  <sheetData>
    <row r="1" spans="1:6" ht="18.75" x14ac:dyDescent="0.25">
      <c r="A1" s="67" t="s">
        <v>148</v>
      </c>
      <c r="B1" s="67"/>
      <c r="C1" s="67"/>
    </row>
    <row r="2" spans="1:6" ht="9" customHeight="1" x14ac:dyDescent="0.25"/>
    <row r="3" spans="1:6" x14ac:dyDescent="0.25">
      <c r="A3" s="25" t="s">
        <v>140</v>
      </c>
      <c r="B3" s="26" t="s">
        <v>146</v>
      </c>
      <c r="C3" s="27" t="s">
        <v>248</v>
      </c>
    </row>
    <row r="4" spans="1:6" x14ac:dyDescent="0.25">
      <c r="A4" s="8" t="s">
        <v>144</v>
      </c>
      <c r="B4" s="1" t="s">
        <v>142</v>
      </c>
      <c r="C4" s="33">
        <v>100320</v>
      </c>
      <c r="E4" s="4" t="s">
        <v>140</v>
      </c>
      <c r="F4" s="4" t="s">
        <v>22</v>
      </c>
    </row>
    <row r="5" spans="1:6" x14ac:dyDescent="0.25">
      <c r="A5" s="8" t="s">
        <v>141</v>
      </c>
      <c r="B5" s="1" t="s">
        <v>145</v>
      </c>
      <c r="C5" s="33">
        <v>29400</v>
      </c>
      <c r="E5" s="1" t="s">
        <v>141</v>
      </c>
      <c r="F5" s="9">
        <f>SUMIF(TabCA[Période],E5,TabCA[Chiffre Affaires])</f>
        <v>43270</v>
      </c>
    </row>
    <row r="6" spans="1:6" x14ac:dyDescent="0.25">
      <c r="A6" s="8" t="s">
        <v>147</v>
      </c>
      <c r="B6" s="1" t="s">
        <v>142</v>
      </c>
      <c r="C6" s="33">
        <v>12090</v>
      </c>
      <c r="E6" s="1" t="s">
        <v>147</v>
      </c>
      <c r="F6" s="9">
        <f>SUMIF(TabCA[Période],E6,TabCA[Chiffre Affaires])</f>
        <v>50450</v>
      </c>
    </row>
    <row r="7" spans="1:6" x14ac:dyDescent="0.25">
      <c r="A7" s="8" t="s">
        <v>147</v>
      </c>
      <c r="B7" s="1" t="s">
        <v>143</v>
      </c>
      <c r="C7" s="33">
        <v>24640</v>
      </c>
      <c r="E7" s="1" t="s">
        <v>144</v>
      </c>
      <c r="F7" s="9">
        <f>SUMIF(TabCA[Période],E7,TabCA[Chiffre Affaires])</f>
        <v>162080</v>
      </c>
    </row>
    <row r="8" spans="1:6" x14ac:dyDescent="0.25">
      <c r="A8" s="8" t="s">
        <v>144</v>
      </c>
      <c r="B8" s="1" t="s">
        <v>142</v>
      </c>
      <c r="C8" s="33">
        <v>20260</v>
      </c>
    </row>
    <row r="9" spans="1:6" x14ac:dyDescent="0.25">
      <c r="A9" s="8" t="s">
        <v>144</v>
      </c>
      <c r="B9" s="1" t="s">
        <v>143</v>
      </c>
      <c r="C9" s="33">
        <v>23490</v>
      </c>
    </row>
    <row r="10" spans="1:6" x14ac:dyDescent="0.25">
      <c r="A10" s="8" t="s">
        <v>141</v>
      </c>
      <c r="B10" s="1" t="s">
        <v>145</v>
      </c>
      <c r="C10" s="33">
        <v>13870</v>
      </c>
      <c r="E10" s="4" t="s">
        <v>146</v>
      </c>
      <c r="F10" s="4" t="s">
        <v>22</v>
      </c>
    </row>
    <row r="11" spans="1:6" x14ac:dyDescent="0.25">
      <c r="A11" s="8" t="s">
        <v>147</v>
      </c>
      <c r="B11" s="1" t="s">
        <v>145</v>
      </c>
      <c r="C11" s="33">
        <v>13720</v>
      </c>
      <c r="E11" s="1" t="s">
        <v>142</v>
      </c>
      <c r="F11" s="9">
        <f>SUMIF(TabCA[Région],E11,TabCA[Chiffre Affaires])</f>
        <v>132670</v>
      </c>
    </row>
    <row r="12" spans="1:6" x14ac:dyDescent="0.25">
      <c r="A12" s="19" t="s">
        <v>144</v>
      </c>
      <c r="B12" s="34" t="s">
        <v>145</v>
      </c>
      <c r="C12" s="35">
        <v>18010</v>
      </c>
      <c r="E12" s="1" t="s">
        <v>143</v>
      </c>
      <c r="F12" s="9">
        <f>SUMIF(TabCA[Région],E12,TabCA[Chiffre Affaires])</f>
        <v>48130</v>
      </c>
    </row>
    <row r="13" spans="1:6" x14ac:dyDescent="0.25">
      <c r="E13" s="1" t="s">
        <v>145</v>
      </c>
      <c r="F13" s="9">
        <f>SUMIF(TabCA[Région],E13,TabCA[Chiffre Affaires])</f>
        <v>75000</v>
      </c>
    </row>
  </sheetData>
  <mergeCells count="1">
    <mergeCell ref="A1:C1"/>
  </mergeCell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ACA5-0C4B-4625-916C-CE104B843ADC}">
  <sheetPr>
    <tabColor theme="4"/>
  </sheetPr>
  <dimension ref="A1:D31"/>
  <sheetViews>
    <sheetView zoomScale="120" zoomScaleNormal="120" workbookViewId="0">
      <selection sqref="A1:D1"/>
    </sheetView>
  </sheetViews>
  <sheetFormatPr baseColWidth="10" defaultRowHeight="15" x14ac:dyDescent="0.25"/>
  <cols>
    <col min="1" max="1" width="15.5703125" customWidth="1"/>
    <col min="2" max="2" width="18.140625" bestFit="1" customWidth="1"/>
    <col min="3" max="3" width="20.5703125" customWidth="1"/>
    <col min="4" max="4" width="15.7109375" customWidth="1"/>
  </cols>
  <sheetData>
    <row r="1" spans="1:4" ht="21" customHeight="1" x14ac:dyDescent="0.25">
      <c r="A1" s="71" t="s">
        <v>135</v>
      </c>
      <c r="B1" s="72"/>
      <c r="C1" s="72"/>
      <c r="D1" s="72"/>
    </row>
    <row r="2" spans="1:4" ht="9.75" customHeight="1" x14ac:dyDescent="0.25"/>
    <row r="3" spans="1:4" ht="18.75" customHeight="1" x14ac:dyDescent="0.25">
      <c r="A3" s="31" t="s">
        <v>132</v>
      </c>
      <c r="B3" s="31" t="s">
        <v>138</v>
      </c>
      <c r="C3" s="31" t="s">
        <v>249</v>
      </c>
      <c r="D3" s="31" t="s">
        <v>133</v>
      </c>
    </row>
    <row r="4" spans="1:4" x14ac:dyDescent="0.25">
      <c r="A4" s="20">
        <v>1</v>
      </c>
      <c r="B4" t="s">
        <v>121</v>
      </c>
      <c r="C4" s="29">
        <v>45292</v>
      </c>
      <c r="D4" s="30">
        <v>250</v>
      </c>
    </row>
    <row r="5" spans="1:4" x14ac:dyDescent="0.25">
      <c r="A5" s="20">
        <v>2</v>
      </c>
      <c r="B5" t="s">
        <v>65</v>
      </c>
      <c r="C5" s="29">
        <v>45294</v>
      </c>
      <c r="D5" s="30">
        <v>320</v>
      </c>
    </row>
    <row r="6" spans="1:4" x14ac:dyDescent="0.25">
      <c r="A6" s="20">
        <v>3</v>
      </c>
      <c r="B6" t="s">
        <v>124</v>
      </c>
      <c r="C6" s="29">
        <v>45296</v>
      </c>
      <c r="D6" s="30">
        <v>150</v>
      </c>
    </row>
    <row r="7" spans="1:4" x14ac:dyDescent="0.25">
      <c r="A7" s="20">
        <v>4</v>
      </c>
      <c r="B7" t="s">
        <v>121</v>
      </c>
      <c r="C7" s="29">
        <v>45297</v>
      </c>
      <c r="D7" s="30">
        <v>400</v>
      </c>
    </row>
    <row r="8" spans="1:4" x14ac:dyDescent="0.25">
      <c r="A8" s="20">
        <v>5</v>
      </c>
      <c r="B8" t="s">
        <v>126</v>
      </c>
      <c r="C8" s="29">
        <v>45299</v>
      </c>
      <c r="D8" s="30">
        <v>75</v>
      </c>
    </row>
    <row r="9" spans="1:4" x14ac:dyDescent="0.25">
      <c r="A9" s="20">
        <v>6</v>
      </c>
      <c r="B9" t="s">
        <v>127</v>
      </c>
      <c r="C9" s="29">
        <v>45300</v>
      </c>
      <c r="D9" s="30">
        <v>500</v>
      </c>
    </row>
    <row r="10" spans="1:4" x14ac:dyDescent="0.25">
      <c r="A10" s="20">
        <v>7</v>
      </c>
      <c r="B10" t="s">
        <v>124</v>
      </c>
      <c r="C10" s="29">
        <v>45302</v>
      </c>
      <c r="D10" s="30">
        <v>200</v>
      </c>
    </row>
    <row r="11" spans="1:4" x14ac:dyDescent="0.25">
      <c r="A11" s="20">
        <v>8</v>
      </c>
      <c r="B11" t="s">
        <v>65</v>
      </c>
      <c r="C11" s="29">
        <v>45304</v>
      </c>
      <c r="D11" s="30">
        <v>180</v>
      </c>
    </row>
    <row r="12" spans="1:4" x14ac:dyDescent="0.25">
      <c r="A12" s="20">
        <v>9</v>
      </c>
      <c r="B12" t="s">
        <v>121</v>
      </c>
      <c r="C12" s="29">
        <v>45306</v>
      </c>
      <c r="D12" s="30">
        <v>225</v>
      </c>
    </row>
    <row r="13" spans="1:4" x14ac:dyDescent="0.25">
      <c r="A13" s="20">
        <v>10</v>
      </c>
      <c r="B13" t="s">
        <v>126</v>
      </c>
      <c r="C13" s="29">
        <v>45308</v>
      </c>
      <c r="D13" s="30">
        <v>310</v>
      </c>
    </row>
    <row r="14" spans="1:4" x14ac:dyDescent="0.25">
      <c r="A14" s="20">
        <v>11</v>
      </c>
      <c r="B14" t="s">
        <v>127</v>
      </c>
      <c r="C14" s="29">
        <v>45310</v>
      </c>
      <c r="D14" s="30">
        <v>450</v>
      </c>
    </row>
    <row r="15" spans="1:4" x14ac:dyDescent="0.25">
      <c r="A15" s="20">
        <v>12</v>
      </c>
      <c r="B15" t="s">
        <v>65</v>
      </c>
      <c r="C15" s="29">
        <v>45311</v>
      </c>
      <c r="D15" s="30">
        <v>600</v>
      </c>
    </row>
    <row r="16" spans="1:4" x14ac:dyDescent="0.25">
      <c r="A16" s="20">
        <v>13</v>
      </c>
      <c r="B16" t="s">
        <v>124</v>
      </c>
      <c r="C16" s="29">
        <v>45313</v>
      </c>
      <c r="D16" s="30">
        <v>100</v>
      </c>
    </row>
    <row r="17" spans="1:4" x14ac:dyDescent="0.25">
      <c r="A17" s="20">
        <v>14</v>
      </c>
      <c r="B17" t="s">
        <v>121</v>
      </c>
      <c r="C17" s="29">
        <v>45315</v>
      </c>
      <c r="D17" s="30">
        <v>75</v>
      </c>
    </row>
    <row r="18" spans="1:4" x14ac:dyDescent="0.25">
      <c r="A18" s="20">
        <v>15</v>
      </c>
      <c r="B18" t="s">
        <v>126</v>
      </c>
      <c r="C18" s="29">
        <v>45316</v>
      </c>
      <c r="D18" s="30">
        <v>230</v>
      </c>
    </row>
    <row r="19" spans="1:4" x14ac:dyDescent="0.25">
      <c r="A19" s="20">
        <v>16</v>
      </c>
      <c r="B19" t="s">
        <v>127</v>
      </c>
      <c r="C19" s="29">
        <v>45318</v>
      </c>
      <c r="D19" s="30">
        <v>340</v>
      </c>
    </row>
    <row r="20" spans="1:4" x14ac:dyDescent="0.25">
      <c r="A20" s="20">
        <v>17</v>
      </c>
      <c r="B20" t="s">
        <v>121</v>
      </c>
      <c r="C20" s="29">
        <v>45321</v>
      </c>
      <c r="D20" s="30">
        <v>290</v>
      </c>
    </row>
    <row r="21" spans="1:4" x14ac:dyDescent="0.25">
      <c r="A21" s="20">
        <v>18</v>
      </c>
      <c r="B21" t="s">
        <v>65</v>
      </c>
      <c r="C21" s="29">
        <v>45324</v>
      </c>
      <c r="D21" s="30">
        <v>470</v>
      </c>
    </row>
    <row r="22" spans="1:4" x14ac:dyDescent="0.25">
      <c r="A22" s="20">
        <v>19</v>
      </c>
      <c r="B22" t="s">
        <v>127</v>
      </c>
      <c r="C22" s="29">
        <v>45327</v>
      </c>
      <c r="D22" s="30">
        <v>350</v>
      </c>
    </row>
    <row r="23" spans="1:4" x14ac:dyDescent="0.25">
      <c r="A23" s="20">
        <v>20</v>
      </c>
      <c r="B23" t="s">
        <v>124</v>
      </c>
      <c r="C23" s="29">
        <v>45328</v>
      </c>
      <c r="D23" s="30">
        <v>140</v>
      </c>
    </row>
    <row r="24" spans="1:4" x14ac:dyDescent="0.25">
      <c r="A24" s="20">
        <v>21</v>
      </c>
      <c r="B24" t="s">
        <v>121</v>
      </c>
      <c r="C24" s="29">
        <v>45329</v>
      </c>
      <c r="D24" s="30">
        <v>210</v>
      </c>
    </row>
    <row r="25" spans="1:4" x14ac:dyDescent="0.25">
      <c r="A25" s="20">
        <v>22</v>
      </c>
      <c r="B25" t="s">
        <v>65</v>
      </c>
      <c r="C25" s="29">
        <v>45331</v>
      </c>
      <c r="D25" s="30">
        <v>390</v>
      </c>
    </row>
    <row r="26" spans="1:4" x14ac:dyDescent="0.25">
      <c r="A26" s="20">
        <v>23</v>
      </c>
      <c r="B26" t="s">
        <v>127</v>
      </c>
      <c r="C26" s="29">
        <v>45332</v>
      </c>
      <c r="D26" s="30">
        <v>330</v>
      </c>
    </row>
    <row r="27" spans="1:4" x14ac:dyDescent="0.25">
      <c r="A27" s="20">
        <v>24</v>
      </c>
      <c r="B27" t="s">
        <v>126</v>
      </c>
      <c r="C27" s="29">
        <v>45334</v>
      </c>
      <c r="D27" s="30">
        <v>500</v>
      </c>
    </row>
    <row r="28" spans="1:4" x14ac:dyDescent="0.25">
      <c r="A28" s="20">
        <v>25</v>
      </c>
      <c r="B28" t="s">
        <v>124</v>
      </c>
      <c r="C28" s="29">
        <v>45335</v>
      </c>
      <c r="D28" s="30">
        <v>115</v>
      </c>
    </row>
    <row r="29" spans="1:4" x14ac:dyDescent="0.25">
      <c r="A29" s="20">
        <v>26</v>
      </c>
      <c r="B29" t="s">
        <v>121</v>
      </c>
      <c r="C29" s="29">
        <v>45336</v>
      </c>
      <c r="D29" s="30">
        <v>275</v>
      </c>
    </row>
    <row r="30" spans="1:4" x14ac:dyDescent="0.25">
      <c r="A30" s="20">
        <v>27</v>
      </c>
      <c r="B30" t="s">
        <v>65</v>
      </c>
      <c r="C30" s="29">
        <v>45337</v>
      </c>
      <c r="D30" s="30">
        <v>450</v>
      </c>
    </row>
    <row r="31" spans="1:4" x14ac:dyDescent="0.25">
      <c r="A31" s="20">
        <v>28</v>
      </c>
      <c r="B31" t="s">
        <v>127</v>
      </c>
      <c r="C31" s="29">
        <v>45338</v>
      </c>
      <c r="D31" s="30">
        <v>120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D4C92-54E6-40C3-8B34-47412864051B}">
  <dimension ref="A1:C8"/>
  <sheetViews>
    <sheetView zoomScale="140" zoomScaleNormal="140" workbookViewId="0">
      <selection sqref="A1:C1"/>
    </sheetView>
  </sheetViews>
  <sheetFormatPr baseColWidth="10" defaultRowHeight="15" x14ac:dyDescent="0.25"/>
  <cols>
    <col min="1" max="1" width="20.5703125" customWidth="1"/>
    <col min="2" max="2" width="22.7109375" bestFit="1" customWidth="1"/>
    <col min="3" max="3" width="17.140625" customWidth="1"/>
  </cols>
  <sheetData>
    <row r="1" spans="1:3" ht="18.75" x14ac:dyDescent="0.25">
      <c r="A1" s="67" t="s">
        <v>136</v>
      </c>
      <c r="B1" s="67"/>
      <c r="C1" s="67"/>
    </row>
    <row r="2" spans="1:3" ht="9" customHeight="1" x14ac:dyDescent="0.25"/>
    <row r="3" spans="1:3" ht="17.25" customHeight="1" x14ac:dyDescent="0.25">
      <c r="A3" s="4" t="s">
        <v>138</v>
      </c>
      <c r="B3" s="4" t="s">
        <v>134</v>
      </c>
      <c r="C3" s="4" t="s">
        <v>137</v>
      </c>
    </row>
    <row r="4" spans="1:3" x14ac:dyDescent="0.25">
      <c r="A4" s="1" t="s">
        <v>121</v>
      </c>
      <c r="B4" s="17">
        <f>COUNTIF(TabTransactions[Nom Client],A4)</f>
        <v>7</v>
      </c>
      <c r="C4" s="32">
        <f>SUMIF(TabTransactions[Nom Client],A4,TabTransactions[Montant])</f>
        <v>1725</v>
      </c>
    </row>
    <row r="5" spans="1:3" x14ac:dyDescent="0.25">
      <c r="A5" s="1" t="s">
        <v>65</v>
      </c>
      <c r="B5" s="17">
        <f>COUNTIF(TabTransactions[Nom Client],A5)</f>
        <v>6</v>
      </c>
      <c r="C5" s="32">
        <f>SUMIF(TabTransactions[Nom Client],A5,TabTransactions[Montant])</f>
        <v>2410</v>
      </c>
    </row>
    <row r="6" spans="1:3" x14ac:dyDescent="0.25">
      <c r="A6" s="1" t="s">
        <v>124</v>
      </c>
      <c r="B6" s="17">
        <f>COUNTIF(TabTransactions[Nom Client],A6)</f>
        <v>5</v>
      </c>
      <c r="C6" s="32">
        <f>SUMIF(TabTransactions[Nom Client],A6,TabTransactions[Montant])</f>
        <v>705</v>
      </c>
    </row>
    <row r="7" spans="1:3" x14ac:dyDescent="0.25">
      <c r="A7" s="1" t="s">
        <v>126</v>
      </c>
      <c r="B7" s="17">
        <f>COUNTIF(TabTransactions[Nom Client],A7)</f>
        <v>4</v>
      </c>
      <c r="C7" s="32">
        <f>SUMIF(TabTransactions[Nom Client],A7,TabTransactions[Montant])</f>
        <v>1115</v>
      </c>
    </row>
    <row r="8" spans="1:3" x14ac:dyDescent="0.25">
      <c r="A8" s="1" t="s">
        <v>127</v>
      </c>
      <c r="B8" s="17">
        <f>COUNTIF(TabTransactions[Nom Client],A8)</f>
        <v>6</v>
      </c>
      <c r="C8" s="32">
        <f>SUMIF(TabTransactions[Nom Client],A8,TabTransactions[Montant])</f>
        <v>2090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7329-5745-4FA7-9C74-9E17EF898C2D}">
  <dimension ref="A1:I18"/>
  <sheetViews>
    <sheetView zoomScale="131" zoomScaleNormal="123" workbookViewId="0">
      <selection sqref="A1:D1"/>
    </sheetView>
  </sheetViews>
  <sheetFormatPr baseColWidth="10" defaultRowHeight="15" x14ac:dyDescent="0.25"/>
  <cols>
    <col min="1" max="2" width="19.5703125" bestFit="1" customWidth="1"/>
    <col min="3" max="3" width="10.7109375" bestFit="1" customWidth="1"/>
    <col min="4" max="4" width="13.5703125" customWidth="1"/>
    <col min="5" max="5" width="5.5703125" customWidth="1"/>
    <col min="6" max="6" width="17" customWidth="1"/>
    <col min="7" max="7" width="14" customWidth="1"/>
  </cols>
  <sheetData>
    <row r="1" spans="1:9" ht="20.25" customHeight="1" x14ac:dyDescent="0.25">
      <c r="A1" s="74" t="s">
        <v>58</v>
      </c>
      <c r="B1" s="75"/>
      <c r="C1" s="75"/>
      <c r="D1" s="76"/>
    </row>
    <row r="2" spans="1:9" ht="9" customHeight="1" x14ac:dyDescent="0.25"/>
    <row r="3" spans="1:9" ht="18" customHeight="1" x14ac:dyDescent="0.25">
      <c r="A3" s="5" t="s">
        <v>250</v>
      </c>
      <c r="B3" s="5" t="s">
        <v>157</v>
      </c>
      <c r="C3" s="5" t="s">
        <v>149</v>
      </c>
      <c r="D3" s="5" t="s">
        <v>139</v>
      </c>
    </row>
    <row r="4" spans="1:9" x14ac:dyDescent="0.25">
      <c r="A4" s="1" t="s">
        <v>158</v>
      </c>
      <c r="B4" s="1" t="s">
        <v>150</v>
      </c>
      <c r="C4" s="1" t="s">
        <v>151</v>
      </c>
      <c r="D4" s="37">
        <v>1000</v>
      </c>
      <c r="F4" s="77" t="s">
        <v>174</v>
      </c>
      <c r="G4" s="77"/>
    </row>
    <row r="5" spans="1:9" x14ac:dyDescent="0.25">
      <c r="A5" s="1" t="s">
        <v>159</v>
      </c>
      <c r="B5" s="1" t="s">
        <v>152</v>
      </c>
      <c r="C5" s="1" t="s">
        <v>153</v>
      </c>
      <c r="D5" s="37">
        <v>700</v>
      </c>
      <c r="F5" s="38" t="s">
        <v>157</v>
      </c>
      <c r="G5" s="38" t="s">
        <v>149</v>
      </c>
    </row>
    <row r="6" spans="1:9" x14ac:dyDescent="0.25">
      <c r="A6" s="1" t="s">
        <v>160</v>
      </c>
      <c r="B6" s="1" t="s">
        <v>154</v>
      </c>
      <c r="C6" s="1" t="s">
        <v>155</v>
      </c>
      <c r="D6" s="37">
        <v>950</v>
      </c>
      <c r="F6" s="3" t="s">
        <v>152</v>
      </c>
      <c r="G6" s="3" t="s">
        <v>151</v>
      </c>
    </row>
    <row r="7" spans="1:9" x14ac:dyDescent="0.25">
      <c r="A7" s="1" t="s">
        <v>161</v>
      </c>
      <c r="B7" s="1" t="s">
        <v>150</v>
      </c>
      <c r="C7" s="1" t="s">
        <v>151</v>
      </c>
      <c r="D7" s="37">
        <v>1200</v>
      </c>
      <c r="I7" s="28"/>
    </row>
    <row r="8" spans="1:9" x14ac:dyDescent="0.25">
      <c r="A8" s="1" t="s">
        <v>162</v>
      </c>
      <c r="B8" s="1" t="s">
        <v>152</v>
      </c>
      <c r="C8" s="1" t="s">
        <v>151</v>
      </c>
      <c r="D8" s="37">
        <v>600</v>
      </c>
      <c r="F8" s="77" t="s">
        <v>175</v>
      </c>
      <c r="G8" s="77"/>
    </row>
    <row r="9" spans="1:9" x14ac:dyDescent="0.25">
      <c r="A9" s="1" t="s">
        <v>163</v>
      </c>
      <c r="B9" s="1" t="s">
        <v>156</v>
      </c>
      <c r="C9" s="1" t="s">
        <v>155</v>
      </c>
      <c r="D9" s="37">
        <v>750</v>
      </c>
      <c r="F9" s="36" t="s">
        <v>176</v>
      </c>
      <c r="G9" s="17">
        <f>COUNTIFS(TabProduits[Type Produit],F6,TabProduits[Ville],G6)</f>
        <v>3</v>
      </c>
    </row>
    <row r="10" spans="1:9" x14ac:dyDescent="0.25">
      <c r="A10" s="1" t="s">
        <v>164</v>
      </c>
      <c r="B10" s="1" t="s">
        <v>154</v>
      </c>
      <c r="C10" s="1" t="s">
        <v>151</v>
      </c>
      <c r="D10" s="37">
        <v>1100</v>
      </c>
      <c r="F10" s="36" t="s">
        <v>173</v>
      </c>
      <c r="G10" s="9">
        <f>SUMIFS(TabProduits[Total],TabProduits[Type Produit],F6,TabProduits[Ville],G6)</f>
        <v>2050</v>
      </c>
    </row>
    <row r="11" spans="1:9" x14ac:dyDescent="0.25">
      <c r="A11" s="1" t="s">
        <v>165</v>
      </c>
      <c r="B11" s="1" t="s">
        <v>156</v>
      </c>
      <c r="C11" s="1" t="s">
        <v>153</v>
      </c>
      <c r="D11" s="37">
        <v>650</v>
      </c>
    </row>
    <row r="12" spans="1:9" x14ac:dyDescent="0.25">
      <c r="A12" s="1" t="s">
        <v>166</v>
      </c>
      <c r="B12" s="1" t="s">
        <v>150</v>
      </c>
      <c r="C12" s="1" t="s">
        <v>155</v>
      </c>
      <c r="D12" s="37">
        <v>1050</v>
      </c>
    </row>
    <row r="13" spans="1:9" x14ac:dyDescent="0.25">
      <c r="A13" s="1" t="s">
        <v>167</v>
      </c>
      <c r="B13" s="1" t="s">
        <v>152</v>
      </c>
      <c r="C13" s="1" t="s">
        <v>151</v>
      </c>
      <c r="D13" s="37">
        <v>850</v>
      </c>
    </row>
    <row r="14" spans="1:9" x14ac:dyDescent="0.25">
      <c r="A14" s="1" t="s">
        <v>168</v>
      </c>
      <c r="B14" s="1" t="s">
        <v>154</v>
      </c>
      <c r="C14" s="1" t="s">
        <v>153</v>
      </c>
      <c r="D14" s="37">
        <v>950</v>
      </c>
    </row>
    <row r="15" spans="1:9" x14ac:dyDescent="0.25">
      <c r="A15" s="1" t="s">
        <v>169</v>
      </c>
      <c r="B15" s="1" t="s">
        <v>156</v>
      </c>
      <c r="C15" s="1" t="s">
        <v>155</v>
      </c>
      <c r="D15" s="37">
        <v>500</v>
      </c>
    </row>
    <row r="16" spans="1:9" x14ac:dyDescent="0.25">
      <c r="A16" s="1" t="s">
        <v>170</v>
      </c>
      <c r="B16" s="1" t="s">
        <v>150</v>
      </c>
      <c r="C16" s="1" t="s">
        <v>153</v>
      </c>
      <c r="D16" s="37">
        <v>1200</v>
      </c>
    </row>
    <row r="17" spans="1:4" x14ac:dyDescent="0.25">
      <c r="A17" s="1" t="s">
        <v>171</v>
      </c>
      <c r="B17" s="1" t="s">
        <v>152</v>
      </c>
      <c r="C17" s="1" t="s">
        <v>151</v>
      </c>
      <c r="D17" s="37">
        <v>600</v>
      </c>
    </row>
    <row r="18" spans="1:4" x14ac:dyDescent="0.25">
      <c r="A18" s="1" t="s">
        <v>172</v>
      </c>
      <c r="B18" s="1" t="s">
        <v>154</v>
      </c>
      <c r="C18" s="1" t="s">
        <v>155</v>
      </c>
      <c r="D18" s="37">
        <v>1050</v>
      </c>
    </row>
  </sheetData>
  <mergeCells count="3">
    <mergeCell ref="A1:D1"/>
    <mergeCell ref="F4:G4"/>
    <mergeCell ref="F8:G8"/>
  </mergeCells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31AF0-CBEB-4F11-9794-72F17FF4D61E}">
  <dimension ref="A1:H13"/>
  <sheetViews>
    <sheetView zoomScale="130" zoomScaleNormal="130" workbookViewId="0">
      <selection sqref="A1:E1"/>
    </sheetView>
  </sheetViews>
  <sheetFormatPr baseColWidth="10" defaultRowHeight="15" x14ac:dyDescent="0.25"/>
  <cols>
    <col min="1" max="1" width="18.7109375" bestFit="1" customWidth="1"/>
    <col min="2" max="2" width="12.7109375" customWidth="1"/>
    <col min="3" max="3" width="13.5703125" bestFit="1" customWidth="1"/>
    <col min="4" max="4" width="11.5703125" customWidth="1"/>
    <col min="5" max="5" width="16.42578125" customWidth="1"/>
    <col min="6" max="6" width="5.7109375" customWidth="1"/>
    <col min="7" max="7" width="16.28515625" customWidth="1"/>
    <col min="8" max="8" width="16.85546875" customWidth="1"/>
  </cols>
  <sheetData>
    <row r="1" spans="1:8" ht="18.75" x14ac:dyDescent="0.25">
      <c r="A1" s="78" t="s">
        <v>185</v>
      </c>
      <c r="B1" s="78"/>
      <c r="C1" s="78"/>
      <c r="D1" s="78"/>
      <c r="E1" s="78"/>
    </row>
    <row r="2" spans="1:8" ht="9.75" customHeight="1" x14ac:dyDescent="0.25"/>
    <row r="3" spans="1:8" ht="15.75" x14ac:dyDescent="0.25">
      <c r="A3" s="40" t="s">
        <v>177</v>
      </c>
      <c r="B3" s="40" t="s">
        <v>181</v>
      </c>
      <c r="C3" s="40" t="s">
        <v>180</v>
      </c>
      <c r="D3" s="40" t="s">
        <v>187</v>
      </c>
      <c r="E3" s="40" t="s">
        <v>189</v>
      </c>
      <c r="G3" s="79" t="s">
        <v>188</v>
      </c>
      <c r="H3" s="79"/>
    </row>
    <row r="4" spans="1:8" x14ac:dyDescent="0.25">
      <c r="A4" s="41" t="s">
        <v>178</v>
      </c>
      <c r="B4" s="42">
        <v>2500</v>
      </c>
      <c r="C4" s="43">
        <v>5</v>
      </c>
      <c r="D4" s="44">
        <f>IF(C4&gt;7,20%,IF(C4&gt;3,10%,0%))</f>
        <v>0.1</v>
      </c>
      <c r="E4" s="9">
        <f>B4+B4*D4</f>
        <v>2750</v>
      </c>
      <c r="G4" s="40" t="s">
        <v>180</v>
      </c>
      <c r="H4" s="40" t="s">
        <v>186</v>
      </c>
    </row>
    <row r="5" spans="1:8" x14ac:dyDescent="0.25">
      <c r="A5" s="1" t="s">
        <v>65</v>
      </c>
      <c r="B5" s="7">
        <v>3200</v>
      </c>
      <c r="C5" s="13">
        <v>8</v>
      </c>
      <c r="D5" s="44">
        <f t="shared" ref="D5:D13" si="0">IF(C5&gt;7,20%,IF(C5&gt;3,10%,0%))</f>
        <v>0.2</v>
      </c>
      <c r="E5" s="9">
        <f t="shared" ref="E5:E13" si="1">B5+B5*D5</f>
        <v>3840</v>
      </c>
      <c r="G5" s="3" t="s">
        <v>182</v>
      </c>
      <c r="H5" s="39">
        <v>0.2</v>
      </c>
    </row>
    <row r="6" spans="1:8" x14ac:dyDescent="0.25">
      <c r="A6" s="41" t="s">
        <v>124</v>
      </c>
      <c r="B6" s="42">
        <v>2800</v>
      </c>
      <c r="C6" s="43">
        <v>3</v>
      </c>
      <c r="D6" s="44">
        <f t="shared" si="0"/>
        <v>0</v>
      </c>
      <c r="E6" s="9">
        <f t="shared" si="1"/>
        <v>2800</v>
      </c>
      <c r="G6" s="3" t="s">
        <v>184</v>
      </c>
      <c r="H6" s="39">
        <v>0.1</v>
      </c>
    </row>
    <row r="7" spans="1:8" x14ac:dyDescent="0.25">
      <c r="A7" s="1" t="s">
        <v>179</v>
      </c>
      <c r="B7" s="7">
        <v>3500</v>
      </c>
      <c r="C7" s="13">
        <v>10</v>
      </c>
      <c r="D7" s="44">
        <f t="shared" si="0"/>
        <v>0.2</v>
      </c>
      <c r="E7" s="9">
        <f t="shared" si="1"/>
        <v>4200</v>
      </c>
      <c r="G7" s="3" t="s">
        <v>183</v>
      </c>
      <c r="H7" s="39">
        <v>0</v>
      </c>
    </row>
    <row r="8" spans="1:8" x14ac:dyDescent="0.25">
      <c r="A8" s="41" t="s">
        <v>125</v>
      </c>
      <c r="B8" s="42">
        <v>2600</v>
      </c>
      <c r="C8" s="43">
        <v>4</v>
      </c>
      <c r="D8" s="44">
        <f t="shared" si="0"/>
        <v>0.1</v>
      </c>
      <c r="E8" s="9">
        <f t="shared" si="1"/>
        <v>2860</v>
      </c>
    </row>
    <row r="9" spans="1:8" x14ac:dyDescent="0.25">
      <c r="A9" s="1" t="s">
        <v>126</v>
      </c>
      <c r="B9" s="7">
        <v>3100</v>
      </c>
      <c r="C9" s="13">
        <v>6</v>
      </c>
      <c r="D9" s="44">
        <f t="shared" si="0"/>
        <v>0.1</v>
      </c>
      <c r="E9" s="9">
        <f t="shared" si="1"/>
        <v>3410</v>
      </c>
    </row>
    <row r="10" spans="1:8" x14ac:dyDescent="0.25">
      <c r="A10" s="41" t="s">
        <v>127</v>
      </c>
      <c r="B10" s="42">
        <v>2900</v>
      </c>
      <c r="C10" s="43">
        <v>7</v>
      </c>
      <c r="D10" s="44">
        <f t="shared" si="0"/>
        <v>0.1</v>
      </c>
      <c r="E10" s="9">
        <f t="shared" si="1"/>
        <v>3190</v>
      </c>
    </row>
    <row r="11" spans="1:8" x14ac:dyDescent="0.25">
      <c r="A11" s="1" t="s">
        <v>128</v>
      </c>
      <c r="B11" s="7">
        <v>2750</v>
      </c>
      <c r="C11" s="13">
        <v>2</v>
      </c>
      <c r="D11" s="44">
        <f t="shared" si="0"/>
        <v>0</v>
      </c>
      <c r="E11" s="9">
        <f t="shared" si="1"/>
        <v>2750</v>
      </c>
    </row>
    <row r="12" spans="1:8" x14ac:dyDescent="0.25">
      <c r="A12" s="41" t="s">
        <v>98</v>
      </c>
      <c r="B12" s="42">
        <v>3400</v>
      </c>
      <c r="C12" s="43">
        <v>9</v>
      </c>
      <c r="D12" s="44">
        <f t="shared" si="0"/>
        <v>0.2</v>
      </c>
      <c r="E12" s="9">
        <f t="shared" si="1"/>
        <v>4080</v>
      </c>
    </row>
    <row r="13" spans="1:8" x14ac:dyDescent="0.25">
      <c r="A13" s="1" t="s">
        <v>91</v>
      </c>
      <c r="B13" s="7">
        <v>2850</v>
      </c>
      <c r="C13" s="13">
        <v>1</v>
      </c>
      <c r="D13" s="44">
        <f t="shared" si="0"/>
        <v>0</v>
      </c>
      <c r="E13" s="9">
        <f t="shared" si="1"/>
        <v>2850</v>
      </c>
    </row>
  </sheetData>
  <mergeCells count="2">
    <mergeCell ref="A1:E1"/>
    <mergeCell ref="G3:H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8176E-D468-4F53-9758-26182EDCD0C4}">
  <dimension ref="A1:H23"/>
  <sheetViews>
    <sheetView zoomScale="140" zoomScaleNormal="140" workbookViewId="0">
      <selection sqref="A1:D1"/>
    </sheetView>
  </sheetViews>
  <sheetFormatPr baseColWidth="10" defaultRowHeight="15" x14ac:dyDescent="0.25"/>
  <cols>
    <col min="1" max="1" width="11.85546875" customWidth="1"/>
    <col min="2" max="2" width="16.85546875" bestFit="1" customWidth="1"/>
    <col min="3" max="3" width="9.5703125" customWidth="1"/>
    <col min="4" max="4" width="15.28515625" customWidth="1"/>
    <col min="5" max="5" width="7.140625" customWidth="1"/>
    <col min="6" max="6" width="6.140625" customWidth="1"/>
    <col min="8" max="8" width="13" customWidth="1"/>
  </cols>
  <sheetData>
    <row r="1" spans="1:8" ht="18.75" x14ac:dyDescent="0.25">
      <c r="A1" s="80" t="s">
        <v>241</v>
      </c>
      <c r="B1" s="80"/>
      <c r="C1" s="80"/>
      <c r="D1" s="80"/>
    </row>
    <row r="2" spans="1:8" ht="9" customHeight="1" x14ac:dyDescent="0.25"/>
    <row r="3" spans="1:8" ht="15.75" x14ac:dyDescent="0.25">
      <c r="A3" s="58" t="s">
        <v>117</v>
      </c>
      <c r="B3" s="59" t="s">
        <v>193</v>
      </c>
      <c r="C3" s="59" t="s">
        <v>194</v>
      </c>
      <c r="D3" s="60" t="s">
        <v>235</v>
      </c>
      <c r="G3" s="81" t="s">
        <v>236</v>
      </c>
      <c r="H3" s="82"/>
    </row>
    <row r="4" spans="1:8" x14ac:dyDescent="0.25">
      <c r="A4" s="56" t="s">
        <v>195</v>
      </c>
      <c r="B4" s="1" t="s">
        <v>196</v>
      </c>
      <c r="C4" s="65">
        <v>15</v>
      </c>
      <c r="D4" s="62" t="str">
        <f>IF(TabNotes[[#This Row],[Note]]&gt;=16,"Bien",IF(TabNotes[[#This Row],[Note]]&gt;=12,"A. Bien",IF(TabNotes[[#This Row],[Note]]&gt;=10,"Passable","Insuffisant")))</f>
        <v>A. Bien</v>
      </c>
      <c r="G4" s="61" t="s">
        <v>194</v>
      </c>
      <c r="H4" s="61" t="s">
        <v>235</v>
      </c>
    </row>
    <row r="5" spans="1:8" x14ac:dyDescent="0.25">
      <c r="A5" s="56" t="s">
        <v>197</v>
      </c>
      <c r="B5" s="1" t="s">
        <v>198</v>
      </c>
      <c r="C5" s="65">
        <v>12</v>
      </c>
      <c r="D5" s="62" t="str">
        <f>IF(TabNotes[[#This Row],[Note]]&gt;=16,"Bien",IF(TabNotes[[#This Row],[Note]]&gt;=12,"A. Bien",IF(TabNotes[[#This Row],[Note]]&gt;=10,"Passable","Insuffisant")))</f>
        <v>A. Bien</v>
      </c>
      <c r="G5" s="3" t="s">
        <v>242</v>
      </c>
      <c r="H5" s="1" t="s">
        <v>237</v>
      </c>
    </row>
    <row r="6" spans="1:8" x14ac:dyDescent="0.25">
      <c r="A6" s="56" t="s">
        <v>199</v>
      </c>
      <c r="B6" s="1" t="s">
        <v>200</v>
      </c>
      <c r="C6" s="65">
        <v>18</v>
      </c>
      <c r="D6" s="62" t="str">
        <f>IF(TabNotes[[#This Row],[Note]]&gt;=16,"Bien",IF(TabNotes[[#This Row],[Note]]&gt;=12,"A. Bien",IF(TabNotes[[#This Row],[Note]]&gt;=10,"Passable","Insuffisant")))</f>
        <v>Bien</v>
      </c>
      <c r="G6" s="3" t="s">
        <v>243</v>
      </c>
      <c r="H6" s="1" t="s">
        <v>238</v>
      </c>
    </row>
    <row r="7" spans="1:8" x14ac:dyDescent="0.25">
      <c r="A7" s="56" t="s">
        <v>201</v>
      </c>
      <c r="B7" s="1" t="s">
        <v>202</v>
      </c>
      <c r="C7" s="65">
        <v>9</v>
      </c>
      <c r="D7" s="62" t="str">
        <f>IF(TabNotes[[#This Row],[Note]]&gt;=16,"Bien",IF(TabNotes[[#This Row],[Note]]&gt;=12,"A. Bien",IF(TabNotes[[#This Row],[Note]]&gt;=10,"Passable","Insuffisant")))</f>
        <v>Insuffisant</v>
      </c>
      <c r="G7" s="3" t="s">
        <v>244</v>
      </c>
      <c r="H7" s="1" t="s">
        <v>239</v>
      </c>
    </row>
    <row r="8" spans="1:8" x14ac:dyDescent="0.25">
      <c r="A8" s="56" t="s">
        <v>203</v>
      </c>
      <c r="B8" s="1" t="s">
        <v>204</v>
      </c>
      <c r="C8" s="65">
        <v>16</v>
      </c>
      <c r="D8" s="62" t="str">
        <f>IF(TabNotes[[#This Row],[Note]]&gt;=16,"Bien",IF(TabNotes[[#This Row],[Note]]&gt;=12,"A. Bien",IF(TabNotes[[#This Row],[Note]]&gt;=10,"Passable","Insuffisant")))</f>
        <v>Bien</v>
      </c>
      <c r="G8" s="3" t="s">
        <v>245</v>
      </c>
      <c r="H8" s="1" t="s">
        <v>240</v>
      </c>
    </row>
    <row r="9" spans="1:8" x14ac:dyDescent="0.25">
      <c r="A9" s="56" t="s">
        <v>205</v>
      </c>
      <c r="B9" s="1" t="s">
        <v>206</v>
      </c>
      <c r="C9" s="65">
        <v>7</v>
      </c>
      <c r="D9" s="62" t="str">
        <f>IF(TabNotes[[#This Row],[Note]]&gt;=16,"Bien",IF(TabNotes[[#This Row],[Note]]&gt;=12,"A. Bien",IF(TabNotes[[#This Row],[Note]]&gt;=10,"Passable","Insuffisant")))</f>
        <v>Insuffisant</v>
      </c>
    </row>
    <row r="10" spans="1:8" x14ac:dyDescent="0.25">
      <c r="A10" s="56" t="s">
        <v>207</v>
      </c>
      <c r="B10" s="1" t="s">
        <v>208</v>
      </c>
      <c r="C10" s="65">
        <v>13</v>
      </c>
      <c r="D10" s="62" t="str">
        <f>IF(TabNotes[[#This Row],[Note]]&gt;=16,"Bien",IF(TabNotes[[#This Row],[Note]]&gt;=12,"A. Bien",IF(TabNotes[[#This Row],[Note]]&gt;=10,"Passable","Insuffisant")))</f>
        <v>A. Bien</v>
      </c>
    </row>
    <row r="11" spans="1:8" x14ac:dyDescent="0.25">
      <c r="A11" s="56" t="s">
        <v>209</v>
      </c>
      <c r="B11" s="1" t="s">
        <v>210</v>
      </c>
      <c r="C11" s="65">
        <v>10</v>
      </c>
      <c r="D11" s="62" t="str">
        <f>IF(TabNotes[[#This Row],[Note]]&gt;=16,"Bien",IF(TabNotes[[#This Row],[Note]]&gt;=12,"A. Bien",IF(TabNotes[[#This Row],[Note]]&gt;=10,"Passable","Insuffisant")))</f>
        <v>Passable</v>
      </c>
    </row>
    <row r="12" spans="1:8" x14ac:dyDescent="0.25">
      <c r="A12" s="56" t="s">
        <v>211</v>
      </c>
      <c r="B12" s="1" t="s">
        <v>212</v>
      </c>
      <c r="C12" s="65">
        <v>14</v>
      </c>
      <c r="D12" s="62" t="str">
        <f>IF(TabNotes[[#This Row],[Note]]&gt;=16,"Bien",IF(TabNotes[[#This Row],[Note]]&gt;=12,"A. Bien",IF(TabNotes[[#This Row],[Note]]&gt;=10,"Passable","Insuffisant")))</f>
        <v>A. Bien</v>
      </c>
    </row>
    <row r="13" spans="1:8" x14ac:dyDescent="0.25">
      <c r="A13" s="56" t="s">
        <v>213</v>
      </c>
      <c r="B13" s="1" t="s">
        <v>214</v>
      </c>
      <c r="C13" s="65">
        <v>11</v>
      </c>
      <c r="D13" s="62" t="str">
        <f>IF(TabNotes[[#This Row],[Note]]&gt;=16,"Bien",IF(TabNotes[[#This Row],[Note]]&gt;=12,"A. Bien",IF(TabNotes[[#This Row],[Note]]&gt;=10,"Passable","Insuffisant")))</f>
        <v>Passable</v>
      </c>
    </row>
    <row r="14" spans="1:8" x14ac:dyDescent="0.25">
      <c r="A14" s="56" t="s">
        <v>215</v>
      </c>
      <c r="B14" s="1" t="s">
        <v>216</v>
      </c>
      <c r="C14" s="65">
        <v>19</v>
      </c>
      <c r="D14" s="62" t="str">
        <f>IF(TabNotes[[#This Row],[Note]]&gt;=16,"Bien",IF(TabNotes[[#This Row],[Note]]&gt;=12,"A. Bien",IF(TabNotes[[#This Row],[Note]]&gt;=10,"Passable","Insuffisant")))</f>
        <v>Bien</v>
      </c>
    </row>
    <row r="15" spans="1:8" x14ac:dyDescent="0.25">
      <c r="A15" s="56" t="s">
        <v>217</v>
      </c>
      <c r="B15" s="1" t="s">
        <v>218</v>
      </c>
      <c r="C15" s="65">
        <v>17</v>
      </c>
      <c r="D15" s="62" t="str">
        <f>IF(TabNotes[[#This Row],[Note]]&gt;=16,"Bien",IF(TabNotes[[#This Row],[Note]]&gt;=12,"A. Bien",IF(TabNotes[[#This Row],[Note]]&gt;=10,"Passable","Insuffisant")))</f>
        <v>Bien</v>
      </c>
    </row>
    <row r="16" spans="1:8" x14ac:dyDescent="0.25">
      <c r="A16" s="56" t="s">
        <v>219</v>
      </c>
      <c r="B16" s="1" t="s">
        <v>220</v>
      </c>
      <c r="C16" s="65">
        <v>8</v>
      </c>
      <c r="D16" s="62" t="str">
        <f>IF(TabNotes[[#This Row],[Note]]&gt;=16,"Bien",IF(TabNotes[[#This Row],[Note]]&gt;=12,"A. Bien",IF(TabNotes[[#This Row],[Note]]&gt;=10,"Passable","Insuffisant")))</f>
        <v>Insuffisant</v>
      </c>
    </row>
    <row r="17" spans="1:4" x14ac:dyDescent="0.25">
      <c r="A17" s="56" t="s">
        <v>221</v>
      </c>
      <c r="B17" s="1" t="s">
        <v>222</v>
      </c>
      <c r="C17" s="65">
        <v>6</v>
      </c>
      <c r="D17" s="62" t="str">
        <f>IF(TabNotes[[#This Row],[Note]]&gt;=16,"Bien",IF(TabNotes[[#This Row],[Note]]&gt;=12,"A. Bien",IF(TabNotes[[#This Row],[Note]]&gt;=10,"Passable","Insuffisant")))</f>
        <v>Insuffisant</v>
      </c>
    </row>
    <row r="18" spans="1:4" x14ac:dyDescent="0.25">
      <c r="A18" s="56" t="s">
        <v>223</v>
      </c>
      <c r="B18" s="1" t="s">
        <v>224</v>
      </c>
      <c r="C18" s="65">
        <v>14</v>
      </c>
      <c r="D18" s="62" t="str">
        <f>IF(TabNotes[[#This Row],[Note]]&gt;=16,"Bien",IF(TabNotes[[#This Row],[Note]]&gt;=12,"A. Bien",IF(TabNotes[[#This Row],[Note]]&gt;=10,"Passable","Insuffisant")))</f>
        <v>A. Bien</v>
      </c>
    </row>
    <row r="19" spans="1:4" x14ac:dyDescent="0.25">
      <c r="A19" s="56" t="s">
        <v>225</v>
      </c>
      <c r="B19" s="1" t="s">
        <v>226</v>
      </c>
      <c r="C19" s="65">
        <v>13</v>
      </c>
      <c r="D19" s="62" t="str">
        <f>IF(TabNotes[[#This Row],[Note]]&gt;=16,"Bien",IF(TabNotes[[#This Row],[Note]]&gt;=12,"A. Bien",IF(TabNotes[[#This Row],[Note]]&gt;=10,"Passable","Insuffisant")))</f>
        <v>A. Bien</v>
      </c>
    </row>
    <row r="20" spans="1:4" x14ac:dyDescent="0.25">
      <c r="A20" s="56" t="s">
        <v>227</v>
      </c>
      <c r="B20" s="1" t="s">
        <v>228</v>
      </c>
      <c r="C20" s="65">
        <v>16</v>
      </c>
      <c r="D20" s="62" t="str">
        <f>IF(TabNotes[[#This Row],[Note]]&gt;=16,"Bien",IF(TabNotes[[#This Row],[Note]]&gt;=12,"A. Bien",IF(TabNotes[[#This Row],[Note]]&gt;=10,"Passable","Insuffisant")))</f>
        <v>Bien</v>
      </c>
    </row>
    <row r="21" spans="1:4" x14ac:dyDescent="0.25">
      <c r="A21" s="56" t="s">
        <v>229</v>
      </c>
      <c r="B21" s="1" t="s">
        <v>230</v>
      </c>
      <c r="C21" s="65">
        <v>9</v>
      </c>
      <c r="D21" s="62" t="str">
        <f>IF(TabNotes[[#This Row],[Note]]&gt;=16,"Bien",IF(TabNotes[[#This Row],[Note]]&gt;=12,"A. Bien",IF(TabNotes[[#This Row],[Note]]&gt;=10,"Passable","Insuffisant")))</f>
        <v>Insuffisant</v>
      </c>
    </row>
    <row r="22" spans="1:4" x14ac:dyDescent="0.25">
      <c r="A22" s="56" t="s">
        <v>231</v>
      </c>
      <c r="B22" s="1" t="s">
        <v>232</v>
      </c>
      <c r="C22" s="65">
        <v>20</v>
      </c>
      <c r="D22" s="62" t="str">
        <f>IF(TabNotes[[#This Row],[Note]]&gt;=16,"Bien",IF(TabNotes[[#This Row],[Note]]&gt;=12,"A. Bien",IF(TabNotes[[#This Row],[Note]]&gt;=10,"Passable","Insuffisant")))</f>
        <v>Bien</v>
      </c>
    </row>
    <row r="23" spans="1:4" x14ac:dyDescent="0.25">
      <c r="A23" s="57" t="s">
        <v>233</v>
      </c>
      <c r="B23" s="34" t="s">
        <v>234</v>
      </c>
      <c r="C23" s="66">
        <v>5</v>
      </c>
      <c r="D23" s="63" t="str">
        <f>IF(TabNotes[[#This Row],[Note]]&gt;=16,"Bien",IF(TabNotes[[#This Row],[Note]]&gt;=12,"A. Bien",IF(TabNotes[[#This Row],[Note]]&gt;=10,"Passable","Insuffisant")))</f>
        <v>Insuffisant</v>
      </c>
    </row>
  </sheetData>
  <mergeCells count="2">
    <mergeCell ref="A1:D1"/>
    <mergeCell ref="G3:H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SI_simple</vt:lpstr>
      <vt:lpstr>SI_simple_2</vt:lpstr>
      <vt:lpstr>SI_ET</vt:lpstr>
      <vt:lpstr>SI_OU</vt:lpstr>
      <vt:lpstr>SI_ET_Calcul</vt:lpstr>
      <vt:lpstr>SI_OU_Calcul</vt:lpstr>
      <vt:lpstr>SI_Date_Couleurs</vt:lpstr>
      <vt:lpstr>Mise_forme_Condition</vt:lpstr>
      <vt:lpstr>NB.SI</vt:lpstr>
      <vt:lpstr>SOMME.SI</vt:lpstr>
      <vt:lpstr>SOMME.SI_TabStruc</vt:lpstr>
      <vt:lpstr>Transactions</vt:lpstr>
      <vt:lpstr>Indicateurs_Transactions</vt:lpstr>
      <vt:lpstr>NB_SOMME_SI.ENS</vt:lpstr>
      <vt:lpstr>SI_Imbriqué</vt:lpstr>
      <vt:lpstr>SI.CONDITIONS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MB</dc:creator>
  <cp:lastModifiedBy>Anass Mançour-Billah</cp:lastModifiedBy>
  <dcterms:created xsi:type="dcterms:W3CDTF">2015-06-05T18:19:34Z</dcterms:created>
  <dcterms:modified xsi:type="dcterms:W3CDTF">2024-11-03T19:07:16Z</dcterms:modified>
</cp:coreProperties>
</file>